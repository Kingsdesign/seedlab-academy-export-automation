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My Drive\RS Consulting\SeedLab\"/>
    </mc:Choice>
  </mc:AlternateContent>
  <xr:revisionPtr revIDLastSave="0" documentId="13_ncr:1_{2830B80D-B391-48A5-8C38-12F478BD3509}" xr6:coauthVersionLast="47" xr6:coauthVersionMax="47" xr10:uidLastSave="{00000000-0000-0000-0000-000000000000}"/>
  <bookViews>
    <workbookView xWindow="-120" yWindow="-120" windowWidth="29040" windowHeight="15720" tabRatio="738" xr2:uid="{A5909C30-C34D-4FA6-8E59-D1D91B7E9E0F}"/>
  </bookViews>
  <sheets>
    <sheet name="EXAMPLE-PRODUCT &amp; VOLUME" sheetId="12" r:id="rId1"/>
    <sheet name="EXAMPLE-COSTING SKU" sheetId="13" r:id="rId2"/>
    <sheet name="EXAMPLE-ANALYSIS" sheetId="14" r:id="rId3"/>
    <sheet name="PRODUCTS &amp; VOLUME" sheetId="3" r:id="rId4"/>
    <sheet name="COSTING SKU 1" sheetId="5" r:id="rId5"/>
    <sheet name="COSTING SKU 2" sheetId="7" r:id="rId6"/>
    <sheet name="COSTING SKU 3" sheetId="8" r:id="rId7"/>
    <sheet name="COSTING SKU 4" sheetId="9" r:id="rId8"/>
    <sheet name="Costing SKU 5" sheetId="10" r:id="rId9"/>
    <sheet name="COSTING SKU 6" sheetId="11" r:id="rId10"/>
    <sheet name="ANALYSIS" sheetId="1" r:id="rId11"/>
    <sheet name="LISTS" sheetId="4" state="hidden" r:id="rId12"/>
  </sheets>
  <definedNames>
    <definedName name="_xlnm.Print_Area" localSheetId="10">ANALYSIS!$A$5:$AL$103</definedName>
    <definedName name="_xlnm.Print_Area" localSheetId="2">'EXAMPLE-ANALYSIS'!$A$1:$R$43</definedName>
    <definedName name="_xlnm.Print_Area" localSheetId="3">'PRODUCTS &amp; VOLUME'!$A$5:$N$37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 i="13" l="1"/>
  <c r="J55" i="13"/>
  <c r="X77" i="1"/>
  <c r="AD79" i="1" s="1"/>
  <c r="W77" i="1"/>
  <c r="V77" i="1"/>
  <c r="Z77" i="1"/>
  <c r="Z44" i="1"/>
  <c r="G44" i="1"/>
  <c r="X44" i="1"/>
  <c r="W44" i="1"/>
  <c r="V44" i="1"/>
  <c r="Z11" i="1"/>
  <c r="Y11" i="1"/>
  <c r="W11" i="1"/>
  <c r="V11" i="1"/>
  <c r="G77" i="1"/>
  <c r="E77" i="1"/>
  <c r="D77" i="1"/>
  <c r="C77" i="1"/>
  <c r="E44" i="1"/>
  <c r="K45" i="1" s="1"/>
  <c r="D44" i="1"/>
  <c r="C44" i="1"/>
  <c r="U73" i="1"/>
  <c r="U40" i="1"/>
  <c r="U7" i="1"/>
  <c r="B73" i="1"/>
  <c r="B40" i="1"/>
  <c r="B7" i="1"/>
  <c r="Y97" i="1"/>
  <c r="Y96" i="1"/>
  <c r="X85" i="1"/>
  <c r="X97" i="1" s="1"/>
  <c r="W85" i="1"/>
  <c r="AA79" i="1"/>
  <c r="Y79" i="1"/>
  <c r="AA78" i="1"/>
  <c r="Y78" i="1"/>
  <c r="Y64" i="1"/>
  <c r="Y63" i="1"/>
  <c r="X52" i="1"/>
  <c r="X63" i="1" s="1"/>
  <c r="W52" i="1"/>
  <c r="AA46" i="1"/>
  <c r="Y46" i="1"/>
  <c r="AA45" i="1"/>
  <c r="Y45" i="1"/>
  <c r="Y31" i="1"/>
  <c r="Y30" i="1"/>
  <c r="X19" i="1"/>
  <c r="X30" i="1" s="1"/>
  <c r="W19" i="1"/>
  <c r="W31" i="1" s="1"/>
  <c r="AA13" i="1"/>
  <c r="Y13" i="1"/>
  <c r="AA12" i="1"/>
  <c r="Y12" i="1"/>
  <c r="X11" i="1"/>
  <c r="AD12" i="1" s="1"/>
  <c r="F97" i="1"/>
  <c r="F96" i="1"/>
  <c r="E85" i="1"/>
  <c r="E97" i="1" s="1"/>
  <c r="D85" i="1"/>
  <c r="D86" i="1" s="1"/>
  <c r="D89" i="1" s="1"/>
  <c r="H79" i="1"/>
  <c r="F79" i="1"/>
  <c r="H78" i="1"/>
  <c r="F78" i="1"/>
  <c r="K78" i="1"/>
  <c r="F64" i="1"/>
  <c r="F63" i="1"/>
  <c r="E52" i="1"/>
  <c r="E63" i="1" s="1"/>
  <c r="D52" i="1"/>
  <c r="D63" i="1" s="1"/>
  <c r="H46" i="1"/>
  <c r="F46" i="1"/>
  <c r="H45" i="1"/>
  <c r="F45" i="1"/>
  <c r="F30" i="1"/>
  <c r="F13" i="1"/>
  <c r="F12" i="1"/>
  <c r="F15" i="14"/>
  <c r="F31" i="14" s="1"/>
  <c r="E31" i="14"/>
  <c r="D31" i="14"/>
  <c r="F30" i="14"/>
  <c r="E30" i="14"/>
  <c r="D30" i="14"/>
  <c r="G7" i="14"/>
  <c r="F7" i="14"/>
  <c r="L9" i="14" s="1"/>
  <c r="E7" i="14"/>
  <c r="K8" i="14" s="1"/>
  <c r="D7" i="14"/>
  <c r="C7" i="14"/>
  <c r="E15" i="14"/>
  <c r="D15" i="14"/>
  <c r="K9" i="14"/>
  <c r="H9" i="14"/>
  <c r="F9" i="14"/>
  <c r="J8" i="14"/>
  <c r="H8" i="14"/>
  <c r="F8" i="14"/>
  <c r="H7" i="14"/>
  <c r="J9" i="14"/>
  <c r="E19" i="1"/>
  <c r="E30" i="1" s="1"/>
  <c r="D19" i="1"/>
  <c r="D30" i="1" s="1"/>
  <c r="E11" i="1"/>
  <c r="K13" i="1" s="1"/>
  <c r="H13" i="1"/>
  <c r="H12" i="1"/>
  <c r="G62" i="9"/>
  <c r="G62" i="11"/>
  <c r="G62" i="10"/>
  <c r="G62" i="8"/>
  <c r="G62" i="7"/>
  <c r="G62" i="5"/>
  <c r="I25" i="12"/>
  <c r="H25" i="12"/>
  <c r="G25" i="12"/>
  <c r="F25" i="12"/>
  <c r="E30" i="12"/>
  <c r="E29" i="12"/>
  <c r="J35" i="11"/>
  <c r="J34" i="11"/>
  <c r="J33" i="11"/>
  <c r="J36" i="11" s="1"/>
  <c r="J32" i="11"/>
  <c r="J35" i="10"/>
  <c r="J34" i="10"/>
  <c r="J33" i="10"/>
  <c r="J32" i="10"/>
  <c r="J36" i="10" s="1"/>
  <c r="J35" i="9"/>
  <c r="J36" i="9" s="1"/>
  <c r="J34" i="9"/>
  <c r="J33" i="9"/>
  <c r="J32" i="9"/>
  <c r="J35" i="8"/>
  <c r="J34" i="8"/>
  <c r="J33" i="8"/>
  <c r="J32" i="8"/>
  <c r="J35" i="7"/>
  <c r="J34" i="7"/>
  <c r="J33" i="7"/>
  <c r="J36" i="7" s="1"/>
  <c r="J32" i="7"/>
  <c r="J32" i="5"/>
  <c r="J33" i="5"/>
  <c r="J34" i="5"/>
  <c r="J35" i="5"/>
  <c r="G62" i="13"/>
  <c r="E6" i="13"/>
  <c r="G6" i="13" s="1"/>
  <c r="B6" i="13"/>
  <c r="K41" i="13"/>
  <c r="K40" i="13"/>
  <c r="K42" i="13" s="1"/>
  <c r="J35" i="13"/>
  <c r="J34" i="13"/>
  <c r="H29" i="13"/>
  <c r="I13" i="13" s="1"/>
  <c r="L28" i="13"/>
  <c r="M28" i="13" s="1"/>
  <c r="I28" i="13"/>
  <c r="L27" i="13"/>
  <c r="M27" i="13" s="1"/>
  <c r="I27" i="13"/>
  <c r="L26" i="13"/>
  <c r="M26" i="13" s="1"/>
  <c r="L25" i="13"/>
  <c r="M25" i="13" s="1"/>
  <c r="L24" i="13"/>
  <c r="M24" i="13" s="1"/>
  <c r="I24" i="13"/>
  <c r="L23" i="13"/>
  <c r="M23" i="13" s="1"/>
  <c r="I23" i="13"/>
  <c r="L22" i="13"/>
  <c r="M22" i="13" s="1"/>
  <c r="L21" i="13"/>
  <c r="M21" i="13" s="1"/>
  <c r="L20" i="13"/>
  <c r="M20" i="13" s="1"/>
  <c r="I20" i="13"/>
  <c r="L19" i="13"/>
  <c r="M19" i="13" s="1"/>
  <c r="I19" i="13"/>
  <c r="L18" i="13"/>
  <c r="M18" i="13" s="1"/>
  <c r="L17" i="13"/>
  <c r="M17" i="13" s="1"/>
  <c r="L16" i="13"/>
  <c r="M16" i="13" s="1"/>
  <c r="I16" i="13"/>
  <c r="L15" i="13"/>
  <c r="M15" i="13" s="1"/>
  <c r="I15" i="13"/>
  <c r="L14" i="13"/>
  <c r="M14" i="13" s="1"/>
  <c r="L13" i="13"/>
  <c r="M13" i="13" s="1"/>
  <c r="L12" i="13"/>
  <c r="M12" i="13" s="1"/>
  <c r="I12" i="13"/>
  <c r="L11" i="13"/>
  <c r="M11" i="13" s="1"/>
  <c r="I11" i="13"/>
  <c r="L10" i="13"/>
  <c r="M10" i="13" s="1"/>
  <c r="L9" i="13"/>
  <c r="F26" i="12"/>
  <c r="M24" i="12"/>
  <c r="L24" i="12"/>
  <c r="M23" i="12"/>
  <c r="L23" i="12"/>
  <c r="M22" i="12"/>
  <c r="L22" i="12"/>
  <c r="M21" i="12"/>
  <c r="L21" i="12"/>
  <c r="M20" i="12"/>
  <c r="L20" i="12"/>
  <c r="I20" i="12"/>
  <c r="M19" i="12"/>
  <c r="M25" i="12" s="1"/>
  <c r="L19" i="12"/>
  <c r="I19" i="12"/>
  <c r="E6" i="11"/>
  <c r="B6" i="11"/>
  <c r="E6" i="10"/>
  <c r="B6" i="10"/>
  <c r="E6" i="9"/>
  <c r="G6" i="9" s="1"/>
  <c r="B6" i="9"/>
  <c r="K41" i="11"/>
  <c r="K40" i="11"/>
  <c r="K42" i="11" s="1"/>
  <c r="H29" i="11"/>
  <c r="I26" i="11" s="1"/>
  <c r="L28" i="11"/>
  <c r="M28" i="11" s="1"/>
  <c r="L27" i="11"/>
  <c r="M27" i="11" s="1"/>
  <c r="L26" i="11"/>
  <c r="M26" i="11" s="1"/>
  <c r="L25" i="11"/>
  <c r="M25" i="11" s="1"/>
  <c r="L24" i="11"/>
  <c r="M24" i="11" s="1"/>
  <c r="I24" i="11"/>
  <c r="L23" i="11"/>
  <c r="M23" i="11" s="1"/>
  <c r="I23" i="11"/>
  <c r="L22" i="11"/>
  <c r="M22" i="11" s="1"/>
  <c r="L21" i="11"/>
  <c r="M21" i="11" s="1"/>
  <c r="L20" i="11"/>
  <c r="M20" i="11" s="1"/>
  <c r="L19" i="11"/>
  <c r="M19" i="11" s="1"/>
  <c r="L18" i="11"/>
  <c r="M18" i="11" s="1"/>
  <c r="L17" i="11"/>
  <c r="M17" i="11" s="1"/>
  <c r="L16" i="11"/>
  <c r="M16" i="11" s="1"/>
  <c r="L15" i="11"/>
  <c r="M15" i="11" s="1"/>
  <c r="I15" i="11"/>
  <c r="L14" i="11"/>
  <c r="M14" i="11" s="1"/>
  <c r="L13" i="11"/>
  <c r="M13" i="11" s="1"/>
  <c r="I13" i="11"/>
  <c r="L12" i="11"/>
  <c r="M12" i="11" s="1"/>
  <c r="L11" i="11"/>
  <c r="M11" i="11" s="1"/>
  <c r="L10" i="11"/>
  <c r="M10" i="11" s="1"/>
  <c r="L9" i="11"/>
  <c r="K41" i="10"/>
  <c r="K42" i="10" s="1"/>
  <c r="K40" i="10"/>
  <c r="H29" i="10"/>
  <c r="I27" i="10" s="1"/>
  <c r="L28" i="10"/>
  <c r="M28" i="10" s="1"/>
  <c r="L27" i="10"/>
  <c r="M27" i="10" s="1"/>
  <c r="L26" i="10"/>
  <c r="M26" i="10" s="1"/>
  <c r="L25" i="10"/>
  <c r="M25" i="10" s="1"/>
  <c r="L24" i="10"/>
  <c r="M24" i="10" s="1"/>
  <c r="L23" i="10"/>
  <c r="M23" i="10" s="1"/>
  <c r="L22" i="10"/>
  <c r="M22" i="10" s="1"/>
  <c r="L21" i="10"/>
  <c r="M21" i="10" s="1"/>
  <c r="L20" i="10"/>
  <c r="M20" i="10" s="1"/>
  <c r="L19" i="10"/>
  <c r="M19" i="10" s="1"/>
  <c r="L18" i="10"/>
  <c r="M18" i="10" s="1"/>
  <c r="L17" i="10"/>
  <c r="M17" i="10" s="1"/>
  <c r="I17" i="10"/>
  <c r="L16" i="10"/>
  <c r="M16" i="10" s="1"/>
  <c r="L15" i="10"/>
  <c r="M15" i="10" s="1"/>
  <c r="L14" i="10"/>
  <c r="M14" i="10" s="1"/>
  <c r="L13" i="10"/>
  <c r="M13" i="10" s="1"/>
  <c r="L12" i="10"/>
  <c r="M12" i="10" s="1"/>
  <c r="I12" i="10"/>
  <c r="L11" i="10"/>
  <c r="M11" i="10" s="1"/>
  <c r="I11" i="10"/>
  <c r="L10" i="10"/>
  <c r="M10" i="10" s="1"/>
  <c r="L9" i="10"/>
  <c r="K41" i="9"/>
  <c r="K40" i="9"/>
  <c r="K42" i="9" s="1"/>
  <c r="H29" i="9"/>
  <c r="I27" i="9" s="1"/>
  <c r="L28" i="9"/>
  <c r="M28" i="9" s="1"/>
  <c r="L27" i="9"/>
  <c r="M27" i="9" s="1"/>
  <c r="L26" i="9"/>
  <c r="M26" i="9" s="1"/>
  <c r="L25" i="9"/>
  <c r="M25" i="9" s="1"/>
  <c r="L24" i="9"/>
  <c r="M24" i="9" s="1"/>
  <c r="L23" i="9"/>
  <c r="M23" i="9" s="1"/>
  <c r="L22" i="9"/>
  <c r="M22" i="9" s="1"/>
  <c r="L21" i="9"/>
  <c r="M21" i="9" s="1"/>
  <c r="L20" i="9"/>
  <c r="M20" i="9" s="1"/>
  <c r="L19" i="9"/>
  <c r="M19" i="9" s="1"/>
  <c r="L18" i="9"/>
  <c r="M18" i="9" s="1"/>
  <c r="L17" i="9"/>
  <c r="M17" i="9" s="1"/>
  <c r="L16" i="9"/>
  <c r="M16" i="9" s="1"/>
  <c r="L15" i="9"/>
  <c r="M15" i="9" s="1"/>
  <c r="L14" i="9"/>
  <c r="M14" i="9" s="1"/>
  <c r="L13" i="9"/>
  <c r="M13" i="9" s="1"/>
  <c r="L12" i="9"/>
  <c r="M12" i="9" s="1"/>
  <c r="L11" i="9"/>
  <c r="M11" i="9" s="1"/>
  <c r="L10" i="9"/>
  <c r="M10" i="9" s="1"/>
  <c r="L9" i="9"/>
  <c r="E6" i="5"/>
  <c r="B6" i="5"/>
  <c r="E6" i="8"/>
  <c r="B6" i="8"/>
  <c r="K41" i="8"/>
  <c r="K40" i="8"/>
  <c r="K42" i="8" s="1"/>
  <c r="H29" i="8"/>
  <c r="I26" i="8" s="1"/>
  <c r="L28" i="8"/>
  <c r="M28" i="8" s="1"/>
  <c r="L27" i="8"/>
  <c r="M27" i="8" s="1"/>
  <c r="L26" i="8"/>
  <c r="M26" i="8" s="1"/>
  <c r="L25" i="8"/>
  <c r="M25" i="8" s="1"/>
  <c r="L24" i="8"/>
  <c r="M24" i="8" s="1"/>
  <c r="L23" i="8"/>
  <c r="M23" i="8" s="1"/>
  <c r="L22" i="8"/>
  <c r="M22" i="8" s="1"/>
  <c r="L21" i="8"/>
  <c r="M21" i="8" s="1"/>
  <c r="L20" i="8"/>
  <c r="M20" i="8" s="1"/>
  <c r="L19" i="8"/>
  <c r="M19" i="8" s="1"/>
  <c r="L18" i="8"/>
  <c r="M18" i="8" s="1"/>
  <c r="L17" i="8"/>
  <c r="M17" i="8" s="1"/>
  <c r="L16" i="8"/>
  <c r="M16" i="8" s="1"/>
  <c r="L15" i="8"/>
  <c r="M15" i="8" s="1"/>
  <c r="L14" i="8"/>
  <c r="M14" i="8" s="1"/>
  <c r="L13" i="8"/>
  <c r="M13" i="8" s="1"/>
  <c r="L12" i="8"/>
  <c r="M12" i="8" s="1"/>
  <c r="L11" i="8"/>
  <c r="M11" i="8" s="1"/>
  <c r="L10" i="8"/>
  <c r="M10" i="8" s="1"/>
  <c r="L9" i="8"/>
  <c r="E6" i="7"/>
  <c r="B6" i="7"/>
  <c r="K41" i="7"/>
  <c r="K40" i="7"/>
  <c r="K42" i="7" s="1"/>
  <c r="H29" i="7"/>
  <c r="L28" i="7"/>
  <c r="M28" i="7" s="1"/>
  <c r="L27" i="7"/>
  <c r="M27" i="7" s="1"/>
  <c r="L26" i="7"/>
  <c r="M26" i="7" s="1"/>
  <c r="L25" i="7"/>
  <c r="M25" i="7" s="1"/>
  <c r="L24" i="7"/>
  <c r="M24" i="7" s="1"/>
  <c r="L23" i="7"/>
  <c r="M23" i="7" s="1"/>
  <c r="L22" i="7"/>
  <c r="M22" i="7" s="1"/>
  <c r="L21" i="7"/>
  <c r="M21" i="7" s="1"/>
  <c r="L20" i="7"/>
  <c r="M20" i="7" s="1"/>
  <c r="L19" i="7"/>
  <c r="M19" i="7" s="1"/>
  <c r="L18" i="7"/>
  <c r="M18" i="7" s="1"/>
  <c r="L17" i="7"/>
  <c r="M17" i="7" s="1"/>
  <c r="L16" i="7"/>
  <c r="M16" i="7" s="1"/>
  <c r="L15" i="7"/>
  <c r="M15" i="7" s="1"/>
  <c r="L14" i="7"/>
  <c r="M14" i="7" s="1"/>
  <c r="L13" i="7"/>
  <c r="M13" i="7" s="1"/>
  <c r="L12" i="7"/>
  <c r="M12" i="7" s="1"/>
  <c r="L11" i="7"/>
  <c r="M11" i="7" s="1"/>
  <c r="L10" i="7"/>
  <c r="M10" i="7" s="1"/>
  <c r="L9" i="7"/>
  <c r="H77" i="1" l="1"/>
  <c r="H44" i="1"/>
  <c r="AC79" i="1"/>
  <c r="AA44" i="1"/>
  <c r="D64" i="1"/>
  <c r="E64" i="1"/>
  <c r="K12" i="1"/>
  <c r="D96" i="1"/>
  <c r="D90" i="1"/>
  <c r="D92" i="1" s="1"/>
  <c r="D94" i="1" s="1"/>
  <c r="D97" i="1"/>
  <c r="AD45" i="1"/>
  <c r="AA77" i="1"/>
  <c r="D20" i="1"/>
  <c r="D23" i="1" s="1"/>
  <c r="E20" i="1"/>
  <c r="AA11" i="1"/>
  <c r="H32" i="13"/>
  <c r="L29" i="13"/>
  <c r="AF12" i="1"/>
  <c r="X64" i="1"/>
  <c r="W86" i="1"/>
  <c r="W89" i="1" s="1"/>
  <c r="X31" i="1"/>
  <c r="W96" i="1"/>
  <c r="AD78" i="1"/>
  <c r="X86" i="1"/>
  <c r="X96" i="1"/>
  <c r="AC78" i="1"/>
  <c r="W97" i="1"/>
  <c r="AD46" i="1"/>
  <c r="AC46" i="1"/>
  <c r="AC45" i="1"/>
  <c r="W53" i="1"/>
  <c r="W56" i="1" s="1"/>
  <c r="X53" i="1"/>
  <c r="W64" i="1"/>
  <c r="W63" i="1"/>
  <c r="AC13" i="1"/>
  <c r="AE13" i="1"/>
  <c r="AF13" i="1"/>
  <c r="AC12" i="1"/>
  <c r="W20" i="1"/>
  <c r="W30" i="1"/>
  <c r="AD13" i="1"/>
  <c r="X20" i="1"/>
  <c r="AE12" i="1"/>
  <c r="K79" i="1"/>
  <c r="J79" i="1"/>
  <c r="J78" i="1"/>
  <c r="E86" i="1"/>
  <c r="E89" i="1" s="1"/>
  <c r="E96" i="1"/>
  <c r="J46" i="1"/>
  <c r="K46" i="1"/>
  <c r="J45" i="1"/>
  <c r="D53" i="1"/>
  <c r="E53" i="1"/>
  <c r="D31" i="1"/>
  <c r="M9" i="14"/>
  <c r="E16" i="14"/>
  <c r="E19" i="14" s="1"/>
  <c r="D16" i="14"/>
  <c r="D19" i="14" s="1"/>
  <c r="L8" i="14"/>
  <c r="M8" i="14"/>
  <c r="D20" i="14"/>
  <c r="D22" i="14" s="1"/>
  <c r="I19" i="11"/>
  <c r="I9" i="11"/>
  <c r="I20" i="11"/>
  <c r="I25" i="11"/>
  <c r="I16" i="11"/>
  <c r="I21" i="11"/>
  <c r="I27" i="11"/>
  <c r="L29" i="11"/>
  <c r="I11" i="11"/>
  <c r="I12" i="11"/>
  <c r="I17" i="11"/>
  <c r="I28" i="11"/>
  <c r="I22" i="10"/>
  <c r="I28" i="10"/>
  <c r="I18" i="10"/>
  <c r="I13" i="10"/>
  <c r="I24" i="10"/>
  <c r="I14" i="10"/>
  <c r="I19" i="10"/>
  <c r="I25" i="10"/>
  <c r="L29" i="10"/>
  <c r="I26" i="10"/>
  <c r="I15" i="10"/>
  <c r="I9" i="10"/>
  <c r="I29" i="10" s="1"/>
  <c r="I20" i="10"/>
  <c r="I10" i="10"/>
  <c r="I21" i="10"/>
  <c r="I16" i="10"/>
  <c r="G61" i="9"/>
  <c r="H62" i="9" s="1"/>
  <c r="L29" i="9"/>
  <c r="I23" i="8"/>
  <c r="L29" i="8"/>
  <c r="I11" i="8"/>
  <c r="I19" i="8"/>
  <c r="I24" i="8"/>
  <c r="J36" i="8"/>
  <c r="I27" i="8"/>
  <c r="I15" i="8"/>
  <c r="I16" i="8"/>
  <c r="I12" i="8"/>
  <c r="I20" i="8"/>
  <c r="I28" i="8"/>
  <c r="I21" i="8"/>
  <c r="I6" i="9"/>
  <c r="G6" i="7"/>
  <c r="G61" i="7" s="1"/>
  <c r="H62" i="7" s="1"/>
  <c r="G6" i="11"/>
  <c r="G61" i="11" s="1"/>
  <c r="H62" i="11" s="1"/>
  <c r="G6" i="10"/>
  <c r="G61" i="10" s="1"/>
  <c r="H62" i="10" s="1"/>
  <c r="I6" i="13"/>
  <c r="I9" i="13"/>
  <c r="I17" i="13"/>
  <c r="I21" i="13"/>
  <c r="I25" i="13"/>
  <c r="M9" i="13"/>
  <c r="M29" i="13" s="1"/>
  <c r="I10" i="13"/>
  <c r="I14" i="13"/>
  <c r="I18" i="13"/>
  <c r="I22" i="13"/>
  <c r="I26" i="13"/>
  <c r="G61" i="13"/>
  <c r="H62" i="13" s="1"/>
  <c r="E31" i="12"/>
  <c r="I26" i="12"/>
  <c r="G26" i="12"/>
  <c r="H26" i="12"/>
  <c r="M9" i="11"/>
  <c r="M29" i="11" s="1"/>
  <c r="I10" i="11"/>
  <c r="I14" i="11"/>
  <c r="I18" i="11"/>
  <c r="I22" i="11"/>
  <c r="M9" i="10"/>
  <c r="M29" i="10" s="1"/>
  <c r="I23" i="10"/>
  <c r="I21" i="9"/>
  <c r="I12" i="9"/>
  <c r="I16" i="9"/>
  <c r="I20" i="9"/>
  <c r="I24" i="9"/>
  <c r="I28" i="9"/>
  <c r="I9" i="9"/>
  <c r="I25" i="9"/>
  <c r="M9" i="9"/>
  <c r="M29" i="9" s="1"/>
  <c r="I17" i="9"/>
  <c r="I10" i="9"/>
  <c r="I14" i="9"/>
  <c r="I18" i="9"/>
  <c r="I22" i="9"/>
  <c r="I26" i="9"/>
  <c r="I13" i="9"/>
  <c r="I11" i="9"/>
  <c r="I15" i="9"/>
  <c r="I19" i="9"/>
  <c r="I23" i="9"/>
  <c r="G6" i="5"/>
  <c r="G6" i="8"/>
  <c r="G61" i="8" s="1"/>
  <c r="H62" i="8" s="1"/>
  <c r="I9" i="8"/>
  <c r="I13" i="8"/>
  <c r="I17" i="8"/>
  <c r="I25" i="8"/>
  <c r="M9" i="8"/>
  <c r="M29" i="8" s="1"/>
  <c r="I10" i="8"/>
  <c r="I14" i="8"/>
  <c r="I18" i="8"/>
  <c r="I22" i="8"/>
  <c r="I21" i="7"/>
  <c r="I19" i="7"/>
  <c r="I9" i="7"/>
  <c r="I15" i="7"/>
  <c r="I14" i="7"/>
  <c r="I16" i="7"/>
  <c r="I26" i="7"/>
  <c r="I25" i="7"/>
  <c r="I13" i="7"/>
  <c r="I20" i="7"/>
  <c r="I18" i="7"/>
  <c r="I28" i="7"/>
  <c r="I27" i="7"/>
  <c r="I24" i="7"/>
  <c r="I12" i="7"/>
  <c r="I17" i="7"/>
  <c r="I23" i="7"/>
  <c r="I11" i="7"/>
  <c r="I22" i="7"/>
  <c r="I10" i="7"/>
  <c r="L29" i="7"/>
  <c r="M9" i="7"/>
  <c r="M29" i="7" s="1"/>
  <c r="E90" i="1" l="1"/>
  <c r="E92" i="1" s="1"/>
  <c r="E93" i="1" s="1"/>
  <c r="E24" i="1"/>
  <c r="E26" i="1" s="1"/>
  <c r="E23" i="1"/>
  <c r="D93" i="1"/>
  <c r="D24" i="1"/>
  <c r="D26" i="1" s="1"/>
  <c r="H33" i="13"/>
  <c r="J33" i="13" s="1"/>
  <c r="J32" i="13"/>
  <c r="W57" i="1"/>
  <c r="W59" i="1" s="1"/>
  <c r="W60" i="1" s="1"/>
  <c r="W90" i="1"/>
  <c r="W92" i="1" s="1"/>
  <c r="X89" i="1"/>
  <c r="X90" i="1"/>
  <c r="X92" i="1" s="1"/>
  <c r="W61" i="1"/>
  <c r="X57" i="1"/>
  <c r="X59" i="1" s="1"/>
  <c r="X56" i="1"/>
  <c r="X24" i="1"/>
  <c r="X26" i="1" s="1"/>
  <c r="X23" i="1"/>
  <c r="W24" i="1"/>
  <c r="W26" i="1" s="1"/>
  <c r="W23" i="1"/>
  <c r="E57" i="1"/>
  <c r="E59" i="1" s="1"/>
  <c r="E56" i="1"/>
  <c r="D57" i="1"/>
  <c r="D59" i="1" s="1"/>
  <c r="D56" i="1"/>
  <c r="E31" i="1"/>
  <c r="E20" i="14"/>
  <c r="E22" i="14" s="1"/>
  <c r="I29" i="11"/>
  <c r="I29" i="9"/>
  <c r="I6" i="5"/>
  <c r="I6" i="8"/>
  <c r="I6" i="7"/>
  <c r="I6" i="11"/>
  <c r="I6" i="10"/>
  <c r="I29" i="13"/>
  <c r="I29" i="8"/>
  <c r="I29" i="7"/>
  <c r="E94" i="1" l="1"/>
  <c r="D27" i="1"/>
  <c r="D28" i="1"/>
  <c r="E28" i="1"/>
  <c r="E27" i="1"/>
  <c r="J36" i="13"/>
  <c r="W94" i="1"/>
  <c r="W93" i="1"/>
  <c r="X94" i="1"/>
  <c r="X93" i="1"/>
  <c r="X61" i="1"/>
  <c r="X60" i="1"/>
  <c r="X27" i="1"/>
  <c r="X28" i="1"/>
  <c r="W28" i="1"/>
  <c r="W27" i="1"/>
  <c r="D61" i="1"/>
  <c r="D60" i="1"/>
  <c r="E61" i="1"/>
  <c r="E60" i="1"/>
  <c r="F31" i="1"/>
  <c r="G11" i="1"/>
  <c r="D11" i="1"/>
  <c r="C11" i="1"/>
  <c r="K41" i="5"/>
  <c r="K40" i="5"/>
  <c r="M24" i="3"/>
  <c r="M25" i="3"/>
  <c r="M26" i="3"/>
  <c r="M27" i="3"/>
  <c r="M28" i="3"/>
  <c r="M23" i="3"/>
  <c r="J13" i="1" l="1"/>
  <c r="J12" i="1"/>
  <c r="H11" i="1"/>
  <c r="M29" i="3"/>
  <c r="G44" i="9" s="1"/>
  <c r="J55" i="9" s="1"/>
  <c r="K42" i="5"/>
  <c r="G44" i="5" l="1"/>
  <c r="G44" i="7"/>
  <c r="G44" i="10"/>
  <c r="G44" i="11"/>
  <c r="G44" i="8"/>
  <c r="J54" i="9"/>
  <c r="J52" i="9"/>
  <c r="J53" i="9"/>
  <c r="J47" i="9"/>
  <c r="J51" i="9"/>
  <c r="J49" i="9"/>
  <c r="J50" i="9"/>
  <c r="J48" i="9"/>
  <c r="J46" i="9"/>
  <c r="J56" i="9"/>
  <c r="J49" i="13"/>
  <c r="J56" i="13"/>
  <c r="J54" i="13"/>
  <c r="J53" i="13"/>
  <c r="J52" i="13"/>
  <c r="J51" i="13"/>
  <c r="J50" i="13"/>
  <c r="J48" i="13"/>
  <c r="J46" i="13"/>
  <c r="J47" i="13"/>
  <c r="J57" i="13" l="1"/>
  <c r="J58" i="13" s="1"/>
  <c r="G60" i="13" s="1"/>
  <c r="I61" i="13" s="1"/>
  <c r="D28" i="14" s="1"/>
  <c r="J46" i="11"/>
  <c r="J55" i="11"/>
  <c r="J52" i="10"/>
  <c r="J55" i="10"/>
  <c r="J53" i="5"/>
  <c r="J55" i="5"/>
  <c r="J50" i="8"/>
  <c r="J55" i="8"/>
  <c r="J56" i="7"/>
  <c r="J55" i="7"/>
  <c r="J52" i="7"/>
  <c r="J47" i="7"/>
  <c r="J54" i="7"/>
  <c r="J53" i="7"/>
  <c r="J46" i="7"/>
  <c r="J49" i="7"/>
  <c r="J48" i="7"/>
  <c r="J50" i="7"/>
  <c r="J51" i="7"/>
  <c r="J46" i="10"/>
  <c r="J53" i="10"/>
  <c r="J47" i="10"/>
  <c r="J56" i="10"/>
  <c r="J52" i="5"/>
  <c r="J51" i="5"/>
  <c r="J46" i="5"/>
  <c r="J56" i="5"/>
  <c r="J50" i="5"/>
  <c r="J48" i="5"/>
  <c r="J49" i="5"/>
  <c r="J47" i="5"/>
  <c r="J54" i="5"/>
  <c r="J53" i="8"/>
  <c r="J46" i="8"/>
  <c r="J54" i="8"/>
  <c r="J47" i="11"/>
  <c r="J50" i="11"/>
  <c r="J48" i="10"/>
  <c r="J51" i="11"/>
  <c r="J51" i="8"/>
  <c r="J52" i="8"/>
  <c r="J50" i="10"/>
  <c r="J52" i="11"/>
  <c r="J53" i="11"/>
  <c r="J54" i="10"/>
  <c r="J54" i="11"/>
  <c r="J56" i="8"/>
  <c r="J47" i="8"/>
  <c r="J48" i="11"/>
  <c r="J49" i="10"/>
  <c r="J48" i="8"/>
  <c r="J56" i="11"/>
  <c r="J51" i="10"/>
  <c r="J49" i="8"/>
  <c r="J49" i="11"/>
  <c r="J57" i="9"/>
  <c r="J58" i="9" s="1"/>
  <c r="G60" i="9" s="1"/>
  <c r="I62" i="9" s="1"/>
  <c r="J36" i="5"/>
  <c r="L9" i="5"/>
  <c r="M9" i="5" s="1"/>
  <c r="L10" i="5"/>
  <c r="M10" i="5" s="1"/>
  <c r="L11" i="5"/>
  <c r="M11" i="5" s="1"/>
  <c r="L12" i="5"/>
  <c r="M12" i="5" s="1"/>
  <c r="L13" i="5"/>
  <c r="M13" i="5" s="1"/>
  <c r="L14" i="5"/>
  <c r="M14" i="5" s="1"/>
  <c r="L15" i="5"/>
  <c r="M15" i="5" s="1"/>
  <c r="L16" i="5"/>
  <c r="M16" i="5" s="1"/>
  <c r="L17" i="5"/>
  <c r="M17" i="5" s="1"/>
  <c r="L18" i="5"/>
  <c r="M18" i="5" s="1"/>
  <c r="L19" i="5"/>
  <c r="M19" i="5" s="1"/>
  <c r="L21" i="5"/>
  <c r="M21" i="5" s="1"/>
  <c r="L22" i="5"/>
  <c r="M22" i="5" s="1"/>
  <c r="L23" i="5"/>
  <c r="M23" i="5" s="1"/>
  <c r="L24" i="5"/>
  <c r="M24" i="5" s="1"/>
  <c r="L25" i="5"/>
  <c r="M25" i="5" s="1"/>
  <c r="L26" i="5"/>
  <c r="M26" i="5" s="1"/>
  <c r="L27" i="5"/>
  <c r="M27" i="5" s="1"/>
  <c r="L28" i="5"/>
  <c r="M28" i="5" s="1"/>
  <c r="L20" i="5"/>
  <c r="M20" i="5" s="1"/>
  <c r="H29" i="5"/>
  <c r="G61" i="5" s="1"/>
  <c r="H62" i="5" s="1"/>
  <c r="L24" i="3"/>
  <c r="F44" i="1" s="1"/>
  <c r="L25" i="3"/>
  <c r="F77" i="1" s="1"/>
  <c r="L26" i="3"/>
  <c r="L27" i="3"/>
  <c r="Y44" i="1" s="1"/>
  <c r="L28" i="3"/>
  <c r="Y77" i="1" s="1"/>
  <c r="L23" i="3"/>
  <c r="F11" i="1" s="1"/>
  <c r="H29" i="3"/>
  <c r="E34" i="3" s="1"/>
  <c r="G29" i="3"/>
  <c r="E33" i="3" s="1"/>
  <c r="F29" i="3"/>
  <c r="AE79" i="1" l="1"/>
  <c r="AF78" i="1"/>
  <c r="AF79" i="1"/>
  <c r="AE78" i="1"/>
  <c r="AF45" i="1"/>
  <c r="AE46" i="1"/>
  <c r="AF46" i="1"/>
  <c r="AE45" i="1"/>
  <c r="L45" i="1"/>
  <c r="M46" i="1"/>
  <c r="L46" i="1"/>
  <c r="M45" i="1"/>
  <c r="M78" i="1"/>
  <c r="L78" i="1"/>
  <c r="M79" i="1"/>
  <c r="L79" i="1"/>
  <c r="M13" i="1"/>
  <c r="M12" i="1"/>
  <c r="L13" i="1"/>
  <c r="L12" i="1"/>
  <c r="I62" i="13"/>
  <c r="E28" i="14"/>
  <c r="D26" i="14"/>
  <c r="D27" i="14"/>
  <c r="D24" i="14"/>
  <c r="D23" i="14"/>
  <c r="J57" i="7"/>
  <c r="J58" i="7" s="1"/>
  <c r="G60" i="7" s="1"/>
  <c r="I61" i="7" s="1"/>
  <c r="J57" i="5"/>
  <c r="J58" i="5" s="1"/>
  <c r="G30" i="3"/>
  <c r="F30" i="3"/>
  <c r="H30" i="3"/>
  <c r="J57" i="10"/>
  <c r="J58" i="10" s="1"/>
  <c r="G60" i="10" s="1"/>
  <c r="I61" i="10" s="1"/>
  <c r="J57" i="11"/>
  <c r="J58" i="11" s="1"/>
  <c r="G60" i="11" s="1"/>
  <c r="I61" i="11" s="1"/>
  <c r="J57" i="8"/>
  <c r="J58" i="8" s="1"/>
  <c r="G60" i="8" s="1"/>
  <c r="I62" i="8" s="1"/>
  <c r="I61" i="9"/>
  <c r="I14" i="5"/>
  <c r="I26" i="5"/>
  <c r="I23" i="5"/>
  <c r="I15" i="5"/>
  <c r="I27" i="5"/>
  <c r="I21" i="5"/>
  <c r="I16" i="5"/>
  <c r="I28" i="5"/>
  <c r="I17" i="5"/>
  <c r="I9" i="5"/>
  <c r="I18" i="5"/>
  <c r="I11" i="5"/>
  <c r="I12" i="5"/>
  <c r="I19" i="5"/>
  <c r="I20" i="5"/>
  <c r="I24" i="5"/>
  <c r="I25" i="5"/>
  <c r="I10" i="5"/>
  <c r="I22" i="5"/>
  <c r="I13" i="5"/>
  <c r="I29" i="3"/>
  <c r="E35" i="3" s="1"/>
  <c r="L29" i="5"/>
  <c r="M29" i="5"/>
  <c r="F28" i="14" l="1"/>
  <c r="E27" i="14"/>
  <c r="E26" i="14"/>
  <c r="E24" i="14"/>
  <c r="E23" i="14"/>
  <c r="G60" i="5"/>
  <c r="I62" i="5" s="1"/>
  <c r="I30" i="3"/>
  <c r="I62" i="7"/>
  <c r="I61" i="8"/>
  <c r="I62" i="11"/>
  <c r="I62" i="10"/>
  <c r="I29" i="5"/>
  <c r="F26" i="14" l="1"/>
  <c r="F27" i="14"/>
  <c r="I6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C5" authorId="0" shapeId="0" xr:uid="{2ABDB84A-B1B7-4519-B7A6-962D73887D17}">
      <text>
        <r>
          <rPr>
            <b/>
            <sz val="9"/>
            <color indexed="81"/>
            <rFont val="Tahoma"/>
            <family val="2"/>
          </rPr>
          <t>Russ Smith:</t>
        </r>
        <r>
          <rPr>
            <sz val="9"/>
            <color indexed="81"/>
            <rFont val="Tahoma"/>
            <family val="2"/>
          </rPr>
          <t xml:space="preserve">
What is your primary brand? </t>
        </r>
      </text>
    </comment>
    <comment ref="C8" authorId="0" shapeId="0" xr:uid="{D59307E8-A08E-4DD5-A563-C9DB108ADFFC}">
      <text>
        <r>
          <rPr>
            <b/>
            <sz val="9"/>
            <color indexed="81"/>
            <rFont val="Tahoma"/>
            <family val="2"/>
          </rPr>
          <t>Russ Smith:</t>
        </r>
        <r>
          <rPr>
            <sz val="9"/>
            <color indexed="81"/>
            <rFont val="Tahoma"/>
            <family val="2"/>
          </rPr>
          <t xml:space="preserve">
How many different product lines do you have (that are included in this worksheet?)</t>
        </r>
      </text>
    </comment>
    <comment ref="F17" authorId="0" shapeId="0" xr:uid="{2F7598F7-29BA-459F-8228-B3FDEB677963}">
      <text>
        <r>
          <rPr>
            <b/>
            <sz val="9"/>
            <color indexed="81"/>
            <rFont val="Tahoma"/>
            <family val="2"/>
          </rPr>
          <t>Russ Smith:</t>
        </r>
        <r>
          <rPr>
            <sz val="9"/>
            <color indexed="81"/>
            <rFont val="Tahoma"/>
            <family val="2"/>
          </rPr>
          <t xml:space="preserve">
Total annual unit sales </t>
        </r>
      </text>
    </comment>
    <comment ref="G17" authorId="0" shapeId="0" xr:uid="{42AD5CAE-D53D-4F22-BDC5-06E9A3E19776}">
      <text>
        <r>
          <rPr>
            <b/>
            <sz val="9"/>
            <color indexed="81"/>
            <rFont val="Tahoma"/>
            <family val="2"/>
          </rPr>
          <t>Russ Smith:</t>
        </r>
        <r>
          <rPr>
            <sz val="9"/>
            <color indexed="81"/>
            <rFont val="Tahoma"/>
            <family val="2"/>
          </rPr>
          <t xml:space="preserve">
Of your total sales, how many of these units was sold to Woolworths?
If you have not got a full years' trading history, annualise your data.</t>
        </r>
      </text>
    </comment>
    <comment ref="H17" authorId="0" shapeId="0" xr:uid="{EF98BA55-3F08-45E9-8169-7A4B56038EEE}">
      <text>
        <r>
          <rPr>
            <b/>
            <sz val="9"/>
            <color indexed="81"/>
            <rFont val="Tahoma"/>
            <family val="2"/>
          </rPr>
          <t>Russ Smith:</t>
        </r>
        <r>
          <rPr>
            <sz val="9"/>
            <color indexed="81"/>
            <rFont val="Tahoma"/>
            <family val="2"/>
          </rPr>
          <t xml:space="preserve">
Of your total sales, how many of these units was sold other retailers, either directly or via a distributor.</t>
        </r>
      </text>
    </comment>
    <comment ref="I17" authorId="0" shapeId="0" xr:uid="{D9AE1166-8217-4D4F-87A1-50F2DD48E3A5}">
      <text>
        <r>
          <rPr>
            <b/>
            <sz val="9"/>
            <color indexed="81"/>
            <rFont val="Tahoma"/>
            <family val="2"/>
          </rPr>
          <t>Russ Smith:</t>
        </r>
        <r>
          <rPr>
            <sz val="9"/>
            <color indexed="81"/>
            <rFont val="Tahoma"/>
            <family val="2"/>
          </rPr>
          <t xml:space="preserve">
Please use this field for all other sales of the item, example would be e-commerce, market stalls or other. </t>
        </r>
      </text>
    </comment>
    <comment ref="C18" authorId="0" shapeId="0" xr:uid="{F2A2B222-E531-42D0-AD80-838FD8E2966B}">
      <text>
        <r>
          <rPr>
            <b/>
            <sz val="9"/>
            <color indexed="81"/>
            <rFont val="Tahoma"/>
            <family val="2"/>
          </rPr>
          <t>Russ Smith:</t>
        </r>
        <r>
          <rPr>
            <sz val="9"/>
            <color indexed="81"/>
            <rFont val="Tahoma"/>
            <family val="2"/>
          </rPr>
          <t xml:space="preserve">
Please insert lines to include the products that you are including in the worksheet.</t>
        </r>
      </text>
    </comment>
    <comment ref="D18" authorId="0" shapeId="0" xr:uid="{E45E2BA0-0A6C-4E9C-A442-069C2B03AC39}">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J18" authorId="0" shapeId="0" xr:uid="{250009E4-D5FE-4EE6-8686-0D4B9EF7A162}">
      <text>
        <r>
          <rPr>
            <b/>
            <sz val="9"/>
            <color indexed="81"/>
            <rFont val="Tahoma"/>
            <family val="2"/>
          </rPr>
          <t>Russ Smith:</t>
        </r>
        <r>
          <rPr>
            <sz val="9"/>
            <color indexed="81"/>
            <rFont val="Tahoma"/>
            <family val="2"/>
          </rPr>
          <t xml:space="preserve">
What is the standard full retail price?</t>
        </r>
      </text>
    </comment>
    <comment ref="K18" authorId="0" shapeId="0" xr:uid="{1B49A728-DDD2-4B9D-9888-11029491D894}">
      <text>
        <r>
          <rPr>
            <b/>
            <sz val="9"/>
            <color indexed="81"/>
            <rFont val="Tahoma"/>
            <family val="2"/>
          </rPr>
          <t>Russ Smith:</t>
        </r>
        <r>
          <rPr>
            <sz val="9"/>
            <color indexed="81"/>
            <rFont val="Tahoma"/>
            <family val="2"/>
          </rPr>
          <t xml:space="preserve">
Drop Down: Yes or No</t>
        </r>
      </text>
    </comment>
    <comment ref="L18" authorId="0" shapeId="0" xr:uid="{D57D7F2B-7CCA-4563-8FF7-48CCAA5C1A85}">
      <text>
        <r>
          <rPr>
            <b/>
            <sz val="9"/>
            <color indexed="81"/>
            <rFont val="Tahoma"/>
            <family val="2"/>
          </rPr>
          <t>Russ Smith:</t>
        </r>
        <r>
          <rPr>
            <sz val="9"/>
            <color indexed="81"/>
            <rFont val="Tahoma"/>
            <family val="2"/>
          </rPr>
          <t xml:space="preserve">
Auto calculated field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B6B3D129-A7C9-4624-BA56-FF431579E11A}">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B55FD465-F3A6-4265-8E5E-16184131A28E}">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I39" authorId="0" shapeId="0" xr:uid="{E9AEF55E-CD90-4165-84BD-987B3F3291D4}">
      <text>
        <r>
          <rPr>
            <b/>
            <sz val="9"/>
            <color indexed="81"/>
            <rFont val="Tahoma"/>
            <family val="2"/>
          </rPr>
          <t>Russ Smith:</t>
        </r>
        <r>
          <rPr>
            <sz val="9"/>
            <color indexed="81"/>
            <rFont val="Tahoma"/>
            <family val="2"/>
          </rPr>
          <t xml:space="preserve">
Include preparation &amp; set up times, clean down times etc.</t>
        </r>
      </text>
    </comment>
    <comment ref="J39" authorId="0" shapeId="0" xr:uid="{BB30C38B-B423-42BC-8D6F-40F9737E0CDD}">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C6" authorId="0" shapeId="0" xr:uid="{A67865C3-FF90-4E80-8545-DD1CD941F286}">
      <text>
        <r>
          <rPr>
            <b/>
            <sz val="9"/>
            <color indexed="81"/>
            <rFont val="Tahoma"/>
            <family val="2"/>
          </rPr>
          <t>Russ Smith:</t>
        </r>
        <r>
          <rPr>
            <sz val="9"/>
            <color indexed="81"/>
            <rFont val="Tahoma"/>
            <family val="2"/>
          </rPr>
          <t xml:space="preserve">
Please insert lines to include the products that you are including in the worksheet.</t>
        </r>
      </text>
    </comment>
    <comment ref="D6" authorId="0" shapeId="0" xr:uid="{3355D636-B739-409E-8A26-CA62C0078E24}">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E6" authorId="0" shapeId="0" xr:uid="{EB0C0EFA-16F1-41CC-844F-8112DB01A136}">
      <text>
        <r>
          <rPr>
            <b/>
            <sz val="9"/>
            <color indexed="81"/>
            <rFont val="Tahoma"/>
            <family val="2"/>
          </rPr>
          <t>Russ Smith:</t>
        </r>
        <r>
          <rPr>
            <sz val="9"/>
            <color indexed="81"/>
            <rFont val="Tahoma"/>
            <family val="2"/>
          </rPr>
          <t xml:space="preserve">
What is the standard full retail price?</t>
        </r>
      </text>
    </comment>
    <comment ref="F6" authorId="0" shapeId="0" xr:uid="{2E0CC080-FA22-4DE3-A096-3C47EFD7A399}">
      <text>
        <r>
          <rPr>
            <b/>
            <sz val="9"/>
            <color indexed="81"/>
            <rFont val="Tahoma"/>
            <family val="2"/>
          </rPr>
          <t>Russ Smith:</t>
        </r>
        <r>
          <rPr>
            <sz val="9"/>
            <color indexed="81"/>
            <rFont val="Tahoma"/>
            <family val="2"/>
          </rPr>
          <t xml:space="preserve">
Auto calculated field
</t>
        </r>
      </text>
    </comment>
    <comment ref="G6" authorId="0" shapeId="0" xr:uid="{EE652E75-7D2D-451D-8FB7-13255160E00B}">
      <text>
        <r>
          <rPr>
            <b/>
            <sz val="9"/>
            <color indexed="81"/>
            <rFont val="Tahoma"/>
            <family val="2"/>
          </rPr>
          <t>Russ Smith:</t>
        </r>
        <r>
          <rPr>
            <sz val="9"/>
            <color indexed="81"/>
            <rFont val="Tahoma"/>
            <family val="2"/>
          </rPr>
          <t xml:space="preserve">
Drop Down: Yes or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C9" authorId="0" shapeId="0" xr:uid="{E4CEFB68-57C4-48D4-B685-CEA21B44E8B8}">
      <text>
        <r>
          <rPr>
            <b/>
            <sz val="9"/>
            <color indexed="81"/>
            <rFont val="Tahoma"/>
            <family val="2"/>
          </rPr>
          <t>Russ Smith:</t>
        </r>
        <r>
          <rPr>
            <sz val="9"/>
            <color indexed="81"/>
            <rFont val="Tahoma"/>
            <family val="2"/>
          </rPr>
          <t xml:space="preserve">
What is your primary brand? </t>
        </r>
      </text>
    </comment>
    <comment ref="C12" authorId="0" shapeId="0" xr:uid="{E5698EF5-52E9-4E38-A73D-389FD12418AA}">
      <text>
        <r>
          <rPr>
            <b/>
            <sz val="9"/>
            <color indexed="81"/>
            <rFont val="Tahoma"/>
            <family val="2"/>
          </rPr>
          <t>Russ Smith:</t>
        </r>
        <r>
          <rPr>
            <sz val="9"/>
            <color indexed="81"/>
            <rFont val="Tahoma"/>
            <family val="2"/>
          </rPr>
          <t xml:space="preserve">
How many different product lines do you have (that are included in this worksheet?)</t>
        </r>
      </text>
    </comment>
    <comment ref="F21" authorId="0" shapeId="0" xr:uid="{A830B75E-5979-444E-835A-6703D466760C}">
      <text>
        <r>
          <rPr>
            <b/>
            <sz val="9"/>
            <color indexed="81"/>
            <rFont val="Tahoma"/>
            <family val="2"/>
          </rPr>
          <t>Russ Smith:</t>
        </r>
        <r>
          <rPr>
            <sz val="9"/>
            <color indexed="81"/>
            <rFont val="Tahoma"/>
            <family val="2"/>
          </rPr>
          <t xml:space="preserve">
Total annual unit sales </t>
        </r>
      </text>
    </comment>
    <comment ref="G21" authorId="0" shapeId="0" xr:uid="{6AC89A62-2C1E-418B-959A-91A0708A1912}">
      <text>
        <r>
          <rPr>
            <b/>
            <sz val="9"/>
            <color indexed="81"/>
            <rFont val="Tahoma"/>
            <family val="2"/>
          </rPr>
          <t>Russ Smith:</t>
        </r>
        <r>
          <rPr>
            <sz val="9"/>
            <color indexed="81"/>
            <rFont val="Tahoma"/>
            <family val="2"/>
          </rPr>
          <t xml:space="preserve">
Of your total sales, how many of these units was sold to Woolworths?
If you have not got a full years' trading history, annualise your data.</t>
        </r>
      </text>
    </comment>
    <comment ref="H21" authorId="0" shapeId="0" xr:uid="{F867496C-716E-4683-B1F3-FFBAFCD82007}">
      <text>
        <r>
          <rPr>
            <b/>
            <sz val="9"/>
            <color indexed="81"/>
            <rFont val="Tahoma"/>
            <family val="2"/>
          </rPr>
          <t>Russ Smith:</t>
        </r>
        <r>
          <rPr>
            <sz val="9"/>
            <color indexed="81"/>
            <rFont val="Tahoma"/>
            <family val="2"/>
          </rPr>
          <t xml:space="preserve">
Of your total sales, how many of these units was sold other retailers, either directly or via a distributor.</t>
        </r>
      </text>
    </comment>
    <comment ref="I21" authorId="0" shapeId="0" xr:uid="{8743D6AF-F13A-4B11-B76F-8A6018712DED}">
      <text>
        <r>
          <rPr>
            <b/>
            <sz val="9"/>
            <color indexed="81"/>
            <rFont val="Tahoma"/>
            <family val="2"/>
          </rPr>
          <t>Russ Smith:</t>
        </r>
        <r>
          <rPr>
            <sz val="9"/>
            <color indexed="81"/>
            <rFont val="Tahoma"/>
            <family val="2"/>
          </rPr>
          <t xml:space="preserve">
Please use this field for all other sales of the item, example would be e-commerce, market stalls or other. </t>
        </r>
      </text>
    </comment>
    <comment ref="C22" authorId="0" shapeId="0" xr:uid="{5A76CDB6-9B59-401E-8959-FF10B4571BB5}">
      <text>
        <r>
          <rPr>
            <b/>
            <sz val="9"/>
            <color indexed="81"/>
            <rFont val="Tahoma"/>
            <family val="2"/>
          </rPr>
          <t>Russ Smith:</t>
        </r>
        <r>
          <rPr>
            <sz val="9"/>
            <color indexed="81"/>
            <rFont val="Tahoma"/>
            <family val="2"/>
          </rPr>
          <t xml:space="preserve">
Please insert lines to include the products that you are including in the worksheet.</t>
        </r>
      </text>
    </comment>
    <comment ref="D22" authorId="0" shapeId="0" xr:uid="{303DE818-B376-48BF-8896-C4FE1FEAA75E}">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J22" authorId="0" shapeId="0" xr:uid="{A96815E8-9DDC-452F-915A-9EECF236879B}">
      <text>
        <r>
          <rPr>
            <b/>
            <sz val="9"/>
            <color indexed="81"/>
            <rFont val="Tahoma"/>
            <family val="2"/>
          </rPr>
          <t>Russ Smith:</t>
        </r>
        <r>
          <rPr>
            <sz val="9"/>
            <color indexed="81"/>
            <rFont val="Tahoma"/>
            <family val="2"/>
          </rPr>
          <t xml:space="preserve">
What is the standard full retail price?</t>
        </r>
      </text>
    </comment>
    <comment ref="K22" authorId="0" shapeId="0" xr:uid="{AD48A308-FE78-466D-BE6D-AEFFE0D5587B}">
      <text>
        <r>
          <rPr>
            <b/>
            <sz val="9"/>
            <color indexed="81"/>
            <rFont val="Tahoma"/>
            <family val="2"/>
          </rPr>
          <t>Russ Smith:</t>
        </r>
        <r>
          <rPr>
            <sz val="9"/>
            <color indexed="81"/>
            <rFont val="Tahoma"/>
            <family val="2"/>
          </rPr>
          <t xml:space="preserve">
Drop Down: Yes or No</t>
        </r>
      </text>
    </comment>
    <comment ref="L22" authorId="0" shapeId="0" xr:uid="{9459319E-6AA9-4E84-B368-B87635EF4D43}">
      <text>
        <r>
          <rPr>
            <b/>
            <sz val="9"/>
            <color indexed="81"/>
            <rFont val="Tahoma"/>
            <family val="2"/>
          </rPr>
          <t>Russ Smith:</t>
        </r>
        <r>
          <rPr>
            <sz val="9"/>
            <color indexed="81"/>
            <rFont val="Tahoma"/>
            <family val="2"/>
          </rPr>
          <t xml:space="preserve">
Auto calculated field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7D7EA604-2CE3-422D-B8A6-CBCC79B5C7E0}">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202F966D-3C39-4F9B-8BDF-8BB3F9220AFE}">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AA24B37B-3FBD-47CB-962C-C07D615B5263}">
      <text>
        <r>
          <rPr>
            <b/>
            <sz val="9"/>
            <color indexed="81"/>
            <rFont val="Tahoma"/>
            <family val="2"/>
          </rPr>
          <t>Russ Smith:</t>
        </r>
        <r>
          <rPr>
            <sz val="9"/>
            <color indexed="81"/>
            <rFont val="Tahoma"/>
            <family val="2"/>
          </rPr>
          <t xml:space="preserve">
How many staff required to complete the batch? </t>
        </r>
      </text>
    </comment>
    <comment ref="I39" authorId="0" shapeId="0" xr:uid="{A6AE0DE7-AF33-409F-8F4E-5FFB2EE1E650}">
      <text>
        <r>
          <rPr>
            <b/>
            <sz val="9"/>
            <color indexed="81"/>
            <rFont val="Tahoma"/>
            <family val="2"/>
          </rPr>
          <t>Russ Smith:</t>
        </r>
        <r>
          <rPr>
            <sz val="9"/>
            <color indexed="81"/>
            <rFont val="Tahoma"/>
            <family val="2"/>
          </rPr>
          <t xml:space="preserve">
Include preparation &amp; set up times, clean down times etc.</t>
        </r>
      </text>
    </comment>
    <comment ref="J39" authorId="0" shapeId="0" xr:uid="{DB6F4453-27D4-4BA4-A851-014654FB4066}">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2A3225A1-D85F-4165-8257-55B2B075DF44}">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13E3065E-C52C-40C1-8D0E-973FB3165D7F}">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977BCF74-6AE8-4E68-B64C-D0B73E48B8C4}">
      <text>
        <r>
          <rPr>
            <b/>
            <sz val="9"/>
            <color indexed="81"/>
            <rFont val="Tahoma"/>
            <family val="2"/>
          </rPr>
          <t>Russ Smith:</t>
        </r>
        <r>
          <rPr>
            <sz val="9"/>
            <color indexed="81"/>
            <rFont val="Tahoma"/>
            <family val="2"/>
          </rPr>
          <t xml:space="preserve">
How many staff required to complete the batch? </t>
        </r>
      </text>
    </comment>
    <comment ref="I39" authorId="0" shapeId="0" xr:uid="{1EF6692C-C5F3-4597-9BE6-944C19E00BBE}">
      <text>
        <r>
          <rPr>
            <b/>
            <sz val="9"/>
            <color indexed="81"/>
            <rFont val="Tahoma"/>
            <family val="2"/>
          </rPr>
          <t>Russ Smith:</t>
        </r>
        <r>
          <rPr>
            <sz val="9"/>
            <color indexed="81"/>
            <rFont val="Tahoma"/>
            <family val="2"/>
          </rPr>
          <t xml:space="preserve">
Include preparation &amp; set up times, clean down times etc.</t>
        </r>
      </text>
    </comment>
    <comment ref="J39" authorId="0" shapeId="0" xr:uid="{FFD7CF58-40D0-4957-85B5-3DDEC5C7AF86}">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436220D0-77B1-49E0-BF88-4252792BDFD9}">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D5D460CF-3E4C-46E0-AA2D-537F51A8B1B3}">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1612CC25-A62B-4ABB-BC50-1E87A4088A90}">
      <text>
        <r>
          <rPr>
            <b/>
            <sz val="9"/>
            <color indexed="81"/>
            <rFont val="Tahoma"/>
            <family val="2"/>
          </rPr>
          <t>Russ Smith:</t>
        </r>
        <r>
          <rPr>
            <sz val="9"/>
            <color indexed="81"/>
            <rFont val="Tahoma"/>
            <family val="2"/>
          </rPr>
          <t xml:space="preserve">
How many staff required to complete the batch? </t>
        </r>
      </text>
    </comment>
    <comment ref="I39" authorId="0" shapeId="0" xr:uid="{50A25D2D-13E7-4D81-8CA4-67970274EDCB}">
      <text>
        <r>
          <rPr>
            <b/>
            <sz val="9"/>
            <color indexed="81"/>
            <rFont val="Tahoma"/>
            <family val="2"/>
          </rPr>
          <t>Russ Smith:</t>
        </r>
        <r>
          <rPr>
            <sz val="9"/>
            <color indexed="81"/>
            <rFont val="Tahoma"/>
            <family val="2"/>
          </rPr>
          <t xml:space="preserve">
Include preparation &amp; set up times, clean down times etc.</t>
        </r>
      </text>
    </comment>
    <comment ref="J39" authorId="0" shapeId="0" xr:uid="{34A94766-0C9F-4D8F-A8AF-8995B013E5FA}">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750CF7C8-13A3-4C24-93D4-C1EAE0A78653}">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C1915FB4-A242-44E6-B77E-6CA0805ED842}">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22890F0C-DFAA-4C6B-B625-E82EF1EAB722}">
      <text>
        <r>
          <rPr>
            <b/>
            <sz val="9"/>
            <color indexed="81"/>
            <rFont val="Tahoma"/>
            <family val="2"/>
          </rPr>
          <t>Russ Smith:</t>
        </r>
        <r>
          <rPr>
            <sz val="9"/>
            <color indexed="81"/>
            <rFont val="Tahoma"/>
            <family val="2"/>
          </rPr>
          <t xml:space="preserve">
How many staff required to complete the batch? </t>
        </r>
      </text>
    </comment>
    <comment ref="I39" authorId="0" shapeId="0" xr:uid="{FFA9AE05-AF8F-47F3-9566-9091FCA2B11B}">
      <text>
        <r>
          <rPr>
            <b/>
            <sz val="9"/>
            <color indexed="81"/>
            <rFont val="Tahoma"/>
            <family val="2"/>
          </rPr>
          <t>Russ Smith:</t>
        </r>
        <r>
          <rPr>
            <sz val="9"/>
            <color indexed="81"/>
            <rFont val="Tahoma"/>
            <family val="2"/>
          </rPr>
          <t xml:space="preserve">
Include preparation &amp; set up times, clean down times etc.</t>
        </r>
      </text>
    </comment>
    <comment ref="J39" authorId="0" shapeId="0" xr:uid="{44CBC10D-BE8E-4CB8-A7DF-B464ABD08EA4}">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E12F4428-B9D2-4903-B039-9DC2A08FD2BC}">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02D6571A-CE0C-4D8B-8A61-367F4CC8A66A}">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52E3BBB5-3F59-4948-B05F-661C0659231C}">
      <text>
        <r>
          <rPr>
            <b/>
            <sz val="9"/>
            <color indexed="81"/>
            <rFont val="Tahoma"/>
            <family val="2"/>
          </rPr>
          <t>Russ Smith:</t>
        </r>
        <r>
          <rPr>
            <sz val="9"/>
            <color indexed="81"/>
            <rFont val="Tahoma"/>
            <family val="2"/>
          </rPr>
          <t xml:space="preserve">
How many staff required to complete the batch? </t>
        </r>
      </text>
    </comment>
    <comment ref="I39" authorId="0" shapeId="0" xr:uid="{929FF7CE-DFDC-4E59-91E5-38A8A95F88FD}">
      <text>
        <r>
          <rPr>
            <b/>
            <sz val="9"/>
            <color indexed="81"/>
            <rFont val="Tahoma"/>
            <family val="2"/>
          </rPr>
          <t>Russ Smith:</t>
        </r>
        <r>
          <rPr>
            <sz val="9"/>
            <color indexed="81"/>
            <rFont val="Tahoma"/>
            <family val="2"/>
          </rPr>
          <t xml:space="preserve">
Include preparation &amp; set up times, clean down times etc.</t>
        </r>
      </text>
    </comment>
    <comment ref="J39" authorId="0" shapeId="0" xr:uid="{B8FD48E5-FB22-428B-AC63-DDF6B161CF6F}">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G6" authorId="0" shapeId="0" xr:uid="{543A63EB-5BA4-4F1B-BCAC-EDB7B67BE6A0}">
      <text>
        <r>
          <rPr>
            <b/>
            <sz val="9"/>
            <color indexed="81"/>
            <rFont val="Tahoma"/>
            <family val="2"/>
          </rPr>
          <t>Russ Smith:</t>
        </r>
        <r>
          <rPr>
            <sz val="9"/>
            <color indexed="81"/>
            <rFont val="Tahoma"/>
            <family val="2"/>
          </rPr>
          <t xml:space="preserve">
Pre-set to 2.5%, please over-write with your average actual weight. </t>
        </r>
      </text>
    </comment>
    <comment ref="J8" authorId="0" shapeId="0" xr:uid="{1C516EE1-4FC6-493E-AEF5-E2B31F436BFF}">
      <text>
        <r>
          <rPr>
            <b/>
            <sz val="9"/>
            <color indexed="81"/>
            <rFont val="Tahoma"/>
            <family val="2"/>
          </rPr>
          <t>Russ Smith:</t>
        </r>
        <r>
          <rPr>
            <sz val="9"/>
            <color indexed="81"/>
            <rFont val="Tahoma"/>
            <family val="2"/>
          </rPr>
          <t xml:space="preserve">
This is loss or shrinkage / in the example you need 4kg of shredded carrot, however you need to peel and top &amp; tail them prior to shredding. </t>
        </r>
      </text>
    </comment>
    <comment ref="H39" authorId="0" shapeId="0" xr:uid="{D946448B-CA2F-4B7A-9BFA-2FD11BA3167F}">
      <text>
        <r>
          <rPr>
            <b/>
            <sz val="9"/>
            <color indexed="81"/>
            <rFont val="Tahoma"/>
            <family val="2"/>
          </rPr>
          <t>Russ Smith:</t>
        </r>
        <r>
          <rPr>
            <sz val="9"/>
            <color indexed="81"/>
            <rFont val="Tahoma"/>
            <family val="2"/>
          </rPr>
          <t xml:space="preserve">
How many staff required to complete the batch? </t>
        </r>
      </text>
    </comment>
    <comment ref="I39" authorId="0" shapeId="0" xr:uid="{87026152-7F9F-4DE9-9A48-5229CCAD0FA6}">
      <text>
        <r>
          <rPr>
            <b/>
            <sz val="9"/>
            <color indexed="81"/>
            <rFont val="Tahoma"/>
            <family val="2"/>
          </rPr>
          <t>Russ Smith:</t>
        </r>
        <r>
          <rPr>
            <sz val="9"/>
            <color indexed="81"/>
            <rFont val="Tahoma"/>
            <family val="2"/>
          </rPr>
          <t xml:space="preserve">
Include preparation &amp; set up times, clean down times etc.</t>
        </r>
      </text>
    </comment>
    <comment ref="J39" authorId="0" shapeId="0" xr:uid="{C6BAFCA7-E71D-4DDE-B22C-C844E12ECBC9}">
      <text>
        <r>
          <rPr>
            <b/>
            <sz val="9"/>
            <color indexed="81"/>
            <rFont val="Tahoma"/>
            <family val="2"/>
          </rPr>
          <t>Russ Smith:</t>
        </r>
        <r>
          <rPr>
            <sz val="9"/>
            <color indexed="81"/>
            <rFont val="Tahoma"/>
            <family val="2"/>
          </rPr>
          <t xml:space="preserve">
Edit these fields to cover your wage costs which vary by state and territory.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Russ Smith</author>
  </authors>
  <commentList>
    <comment ref="C10" authorId="0" shapeId="0" xr:uid="{3AB70F23-8824-4AC8-A023-153D56C0ADB7}">
      <text>
        <r>
          <rPr>
            <b/>
            <sz val="9"/>
            <color indexed="81"/>
            <rFont val="Tahoma"/>
            <family val="2"/>
          </rPr>
          <t>Russ Smith:</t>
        </r>
        <r>
          <rPr>
            <sz val="9"/>
            <color indexed="81"/>
            <rFont val="Tahoma"/>
            <family val="2"/>
          </rPr>
          <t xml:space="preserve">
Please insert lines to include the products that you are including in the worksheet.</t>
        </r>
      </text>
    </comment>
    <comment ref="D10" authorId="0" shapeId="0" xr:uid="{767BCBC2-52CA-42D9-A695-3E10A4272AE4}">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E10" authorId="0" shapeId="0" xr:uid="{A691B023-46F7-4A78-9AE0-E1E547B03F81}">
      <text>
        <r>
          <rPr>
            <b/>
            <sz val="9"/>
            <color indexed="81"/>
            <rFont val="Tahoma"/>
            <family val="2"/>
          </rPr>
          <t>Russ Smith:</t>
        </r>
        <r>
          <rPr>
            <sz val="9"/>
            <color indexed="81"/>
            <rFont val="Tahoma"/>
            <family val="2"/>
          </rPr>
          <t xml:space="preserve">
What is the standard full retail price?</t>
        </r>
      </text>
    </comment>
    <comment ref="F10" authorId="0" shapeId="0" xr:uid="{CF5C6778-89E3-4164-9511-05389AEA750A}">
      <text>
        <r>
          <rPr>
            <b/>
            <sz val="9"/>
            <color indexed="81"/>
            <rFont val="Tahoma"/>
            <family val="2"/>
          </rPr>
          <t>Russ Smith:</t>
        </r>
        <r>
          <rPr>
            <sz val="9"/>
            <color indexed="81"/>
            <rFont val="Tahoma"/>
            <family val="2"/>
          </rPr>
          <t xml:space="preserve">
Auto calculated field
</t>
        </r>
      </text>
    </comment>
    <comment ref="G10" authorId="0" shapeId="0" xr:uid="{530C0DF5-949F-41BC-9A5A-A6D5D4FDCF30}">
      <text>
        <r>
          <rPr>
            <b/>
            <sz val="9"/>
            <color indexed="81"/>
            <rFont val="Tahoma"/>
            <family val="2"/>
          </rPr>
          <t>Russ Smith:</t>
        </r>
        <r>
          <rPr>
            <sz val="9"/>
            <color indexed="81"/>
            <rFont val="Tahoma"/>
            <family val="2"/>
          </rPr>
          <t xml:space="preserve">
Drop Down: Yes or No</t>
        </r>
      </text>
    </comment>
    <comment ref="V10" authorId="0" shapeId="0" xr:uid="{DF4E712F-3FFB-4797-89E7-83FB2213699A}">
      <text>
        <r>
          <rPr>
            <b/>
            <sz val="9"/>
            <color indexed="81"/>
            <rFont val="Tahoma"/>
            <family val="2"/>
          </rPr>
          <t>Russ Smith:</t>
        </r>
        <r>
          <rPr>
            <sz val="9"/>
            <color indexed="81"/>
            <rFont val="Tahoma"/>
            <family val="2"/>
          </rPr>
          <t xml:space="preserve">
Please insert lines to include the products that you are including in the worksheet.</t>
        </r>
      </text>
    </comment>
    <comment ref="W10" authorId="0" shapeId="0" xr:uid="{731B77E7-A26A-4D53-88D3-3FAA86EAE8AB}">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X10" authorId="0" shapeId="0" xr:uid="{BB58F9D3-D3A2-468B-AB43-830523F096DF}">
      <text>
        <r>
          <rPr>
            <b/>
            <sz val="9"/>
            <color indexed="81"/>
            <rFont val="Tahoma"/>
            <family val="2"/>
          </rPr>
          <t>Russ Smith:</t>
        </r>
        <r>
          <rPr>
            <sz val="9"/>
            <color indexed="81"/>
            <rFont val="Tahoma"/>
            <family val="2"/>
          </rPr>
          <t xml:space="preserve">
What is the standard full retail price?</t>
        </r>
      </text>
    </comment>
    <comment ref="Y10" authorId="0" shapeId="0" xr:uid="{3EA85E9F-4A17-41E7-82AF-A6E3C8BD7C0C}">
      <text>
        <r>
          <rPr>
            <b/>
            <sz val="9"/>
            <color indexed="81"/>
            <rFont val="Tahoma"/>
            <family val="2"/>
          </rPr>
          <t>Russ Smith:</t>
        </r>
        <r>
          <rPr>
            <sz val="9"/>
            <color indexed="81"/>
            <rFont val="Tahoma"/>
            <family val="2"/>
          </rPr>
          <t xml:space="preserve">
Auto calculated field
</t>
        </r>
      </text>
    </comment>
    <comment ref="Z10" authorId="0" shapeId="0" xr:uid="{2BA6CA72-1C50-41E7-9606-4DF3925F28CD}">
      <text>
        <r>
          <rPr>
            <b/>
            <sz val="9"/>
            <color indexed="81"/>
            <rFont val="Tahoma"/>
            <family val="2"/>
          </rPr>
          <t>Russ Smith:</t>
        </r>
        <r>
          <rPr>
            <sz val="9"/>
            <color indexed="81"/>
            <rFont val="Tahoma"/>
            <family val="2"/>
          </rPr>
          <t xml:space="preserve">
Drop Down: Yes or No</t>
        </r>
      </text>
    </comment>
    <comment ref="C43" authorId="0" shapeId="0" xr:uid="{A8C9EE0B-E273-4048-AE71-D4B6B29D6C86}">
      <text>
        <r>
          <rPr>
            <b/>
            <sz val="9"/>
            <color indexed="81"/>
            <rFont val="Tahoma"/>
            <family val="2"/>
          </rPr>
          <t>Russ Smith:</t>
        </r>
        <r>
          <rPr>
            <sz val="9"/>
            <color indexed="81"/>
            <rFont val="Tahoma"/>
            <family val="2"/>
          </rPr>
          <t xml:space="preserve">
Please insert lines to include the products that you are including in the worksheet.</t>
        </r>
      </text>
    </comment>
    <comment ref="D43" authorId="0" shapeId="0" xr:uid="{E0D17C5E-EF53-47AC-ADFA-DF121AE87E3F}">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E43" authorId="0" shapeId="0" xr:uid="{7366F5CD-CB7A-4DA1-8301-FD1FC9B15AF4}">
      <text>
        <r>
          <rPr>
            <b/>
            <sz val="9"/>
            <color indexed="81"/>
            <rFont val="Tahoma"/>
            <family val="2"/>
          </rPr>
          <t>Russ Smith:</t>
        </r>
        <r>
          <rPr>
            <sz val="9"/>
            <color indexed="81"/>
            <rFont val="Tahoma"/>
            <family val="2"/>
          </rPr>
          <t xml:space="preserve">
What is the standard full retail price?</t>
        </r>
      </text>
    </comment>
    <comment ref="F43" authorId="0" shapeId="0" xr:uid="{8607D5B8-6AFA-4156-9769-0B44EFBA6743}">
      <text>
        <r>
          <rPr>
            <b/>
            <sz val="9"/>
            <color indexed="81"/>
            <rFont val="Tahoma"/>
            <family val="2"/>
          </rPr>
          <t>Russ Smith:</t>
        </r>
        <r>
          <rPr>
            <sz val="9"/>
            <color indexed="81"/>
            <rFont val="Tahoma"/>
            <family val="2"/>
          </rPr>
          <t xml:space="preserve">
Auto calculated field
</t>
        </r>
      </text>
    </comment>
    <comment ref="G43" authorId="0" shapeId="0" xr:uid="{8FD2353B-3C81-42D6-BC01-AB067477CCDD}">
      <text>
        <r>
          <rPr>
            <b/>
            <sz val="9"/>
            <color indexed="81"/>
            <rFont val="Tahoma"/>
            <family val="2"/>
          </rPr>
          <t>Russ Smith:</t>
        </r>
        <r>
          <rPr>
            <sz val="9"/>
            <color indexed="81"/>
            <rFont val="Tahoma"/>
            <family val="2"/>
          </rPr>
          <t xml:space="preserve">
Drop Down: Yes or No</t>
        </r>
      </text>
    </comment>
    <comment ref="V43" authorId="0" shapeId="0" xr:uid="{A6780B62-B609-460E-B181-8222C68B7EA3}">
      <text>
        <r>
          <rPr>
            <b/>
            <sz val="9"/>
            <color indexed="81"/>
            <rFont val="Tahoma"/>
            <family val="2"/>
          </rPr>
          <t>Russ Smith:</t>
        </r>
        <r>
          <rPr>
            <sz val="9"/>
            <color indexed="81"/>
            <rFont val="Tahoma"/>
            <family val="2"/>
          </rPr>
          <t xml:space="preserve">
Please insert lines to include the products that you are including in the worksheet.</t>
        </r>
      </text>
    </comment>
    <comment ref="W43" authorId="0" shapeId="0" xr:uid="{745F2601-C4CD-475B-8201-B9D0131A840D}">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X43" authorId="0" shapeId="0" xr:uid="{DD2B3322-38D9-43F1-9B7E-261122C81340}">
      <text>
        <r>
          <rPr>
            <b/>
            <sz val="9"/>
            <color indexed="81"/>
            <rFont val="Tahoma"/>
            <family val="2"/>
          </rPr>
          <t>Russ Smith:</t>
        </r>
        <r>
          <rPr>
            <sz val="9"/>
            <color indexed="81"/>
            <rFont val="Tahoma"/>
            <family val="2"/>
          </rPr>
          <t xml:space="preserve">
What is the standard full retail price?</t>
        </r>
      </text>
    </comment>
    <comment ref="Y43" authorId="0" shapeId="0" xr:uid="{93A35AF6-9282-4711-8651-54224662B74B}">
      <text>
        <r>
          <rPr>
            <b/>
            <sz val="9"/>
            <color indexed="81"/>
            <rFont val="Tahoma"/>
            <family val="2"/>
          </rPr>
          <t>Russ Smith:</t>
        </r>
        <r>
          <rPr>
            <sz val="9"/>
            <color indexed="81"/>
            <rFont val="Tahoma"/>
            <family val="2"/>
          </rPr>
          <t xml:space="preserve">
Auto calculated field
</t>
        </r>
      </text>
    </comment>
    <comment ref="Z43" authorId="0" shapeId="0" xr:uid="{71DA14D4-66AE-4FCF-BFBD-F8DDE895CD82}">
      <text>
        <r>
          <rPr>
            <b/>
            <sz val="9"/>
            <color indexed="81"/>
            <rFont val="Tahoma"/>
            <family val="2"/>
          </rPr>
          <t>Russ Smith:</t>
        </r>
        <r>
          <rPr>
            <sz val="9"/>
            <color indexed="81"/>
            <rFont val="Tahoma"/>
            <family val="2"/>
          </rPr>
          <t xml:space="preserve">
Drop Down: Yes or No</t>
        </r>
      </text>
    </comment>
    <comment ref="C76" authorId="0" shapeId="0" xr:uid="{80BC4034-907A-4731-9488-2D4E24B03B3C}">
      <text>
        <r>
          <rPr>
            <b/>
            <sz val="9"/>
            <color indexed="81"/>
            <rFont val="Tahoma"/>
            <family val="2"/>
          </rPr>
          <t>Russ Smith:</t>
        </r>
        <r>
          <rPr>
            <sz val="9"/>
            <color indexed="81"/>
            <rFont val="Tahoma"/>
            <family val="2"/>
          </rPr>
          <t xml:space="preserve">
Please insert lines to include the products that you are including in the worksheet.</t>
        </r>
      </text>
    </comment>
    <comment ref="D76" authorId="0" shapeId="0" xr:uid="{B4129ADF-0B19-4003-88D4-196DAC402E0D}">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E76" authorId="0" shapeId="0" xr:uid="{E3BFBFB6-3311-4D81-ABF3-787674ADA176}">
      <text>
        <r>
          <rPr>
            <b/>
            <sz val="9"/>
            <color indexed="81"/>
            <rFont val="Tahoma"/>
            <family val="2"/>
          </rPr>
          <t>Russ Smith:</t>
        </r>
        <r>
          <rPr>
            <sz val="9"/>
            <color indexed="81"/>
            <rFont val="Tahoma"/>
            <family val="2"/>
          </rPr>
          <t xml:space="preserve">
What is the standard full retail price?</t>
        </r>
      </text>
    </comment>
    <comment ref="F76" authorId="0" shapeId="0" xr:uid="{80A5D479-6DFD-4BFB-8E1E-A954A0D696A8}">
      <text>
        <r>
          <rPr>
            <b/>
            <sz val="9"/>
            <color indexed="81"/>
            <rFont val="Tahoma"/>
            <family val="2"/>
          </rPr>
          <t>Russ Smith:</t>
        </r>
        <r>
          <rPr>
            <sz val="9"/>
            <color indexed="81"/>
            <rFont val="Tahoma"/>
            <family val="2"/>
          </rPr>
          <t xml:space="preserve">
Auto calculated field
</t>
        </r>
      </text>
    </comment>
    <comment ref="G76" authorId="0" shapeId="0" xr:uid="{27AFDA77-DCD1-4C81-847F-F38A1C080285}">
      <text>
        <r>
          <rPr>
            <b/>
            <sz val="9"/>
            <color indexed="81"/>
            <rFont val="Tahoma"/>
            <family val="2"/>
          </rPr>
          <t>Russ Smith:</t>
        </r>
        <r>
          <rPr>
            <sz val="9"/>
            <color indexed="81"/>
            <rFont val="Tahoma"/>
            <family val="2"/>
          </rPr>
          <t xml:space="preserve">
Drop Down: Yes or No</t>
        </r>
      </text>
    </comment>
    <comment ref="V76" authorId="0" shapeId="0" xr:uid="{FE3D0E40-08B6-425D-9462-6A6C1B20E75A}">
      <text>
        <r>
          <rPr>
            <b/>
            <sz val="9"/>
            <color indexed="81"/>
            <rFont val="Tahoma"/>
            <family val="2"/>
          </rPr>
          <t>Russ Smith:</t>
        </r>
        <r>
          <rPr>
            <sz val="9"/>
            <color indexed="81"/>
            <rFont val="Tahoma"/>
            <family val="2"/>
          </rPr>
          <t xml:space="preserve">
Please insert lines to include the products that you are including in the worksheet.</t>
        </r>
      </text>
    </comment>
    <comment ref="W76" authorId="0" shapeId="0" xr:uid="{6D5B2246-BB16-4D2B-B949-31BB49CA3714}">
      <text>
        <r>
          <rPr>
            <b/>
            <sz val="9"/>
            <color indexed="81"/>
            <rFont val="Tahoma"/>
            <family val="2"/>
          </rPr>
          <t>Russ Smith:</t>
        </r>
        <r>
          <rPr>
            <sz val="9"/>
            <color indexed="81"/>
            <rFont val="Tahoma"/>
            <family val="2"/>
          </rPr>
          <t xml:space="preserve">
Please use whatever unit is appropriate for your category. This will be displayed on shelf under the unit price heading: price per kilo / per 100gr / per unit etc</t>
        </r>
      </text>
    </comment>
    <comment ref="X76" authorId="0" shapeId="0" xr:uid="{52469B73-D207-473F-8231-973916EE29F1}">
      <text>
        <r>
          <rPr>
            <b/>
            <sz val="9"/>
            <color indexed="81"/>
            <rFont val="Tahoma"/>
            <family val="2"/>
          </rPr>
          <t>Russ Smith:</t>
        </r>
        <r>
          <rPr>
            <sz val="9"/>
            <color indexed="81"/>
            <rFont val="Tahoma"/>
            <family val="2"/>
          </rPr>
          <t xml:space="preserve">
What is the standard full retail price?</t>
        </r>
      </text>
    </comment>
    <comment ref="Y76" authorId="0" shapeId="0" xr:uid="{F666782E-ABE3-4E8F-88CF-034FF4F5D2A7}">
      <text>
        <r>
          <rPr>
            <b/>
            <sz val="9"/>
            <color indexed="81"/>
            <rFont val="Tahoma"/>
            <family val="2"/>
          </rPr>
          <t>Russ Smith:</t>
        </r>
        <r>
          <rPr>
            <sz val="9"/>
            <color indexed="81"/>
            <rFont val="Tahoma"/>
            <family val="2"/>
          </rPr>
          <t xml:space="preserve">
Auto calculated field
</t>
        </r>
      </text>
    </comment>
    <comment ref="Z76" authorId="0" shapeId="0" xr:uid="{C60D5986-FEB0-46F9-9F44-35F55F0653EC}">
      <text>
        <r>
          <rPr>
            <b/>
            <sz val="9"/>
            <color indexed="81"/>
            <rFont val="Tahoma"/>
            <family val="2"/>
          </rPr>
          <t>Russ Smith:</t>
        </r>
        <r>
          <rPr>
            <sz val="9"/>
            <color indexed="81"/>
            <rFont val="Tahoma"/>
            <family val="2"/>
          </rPr>
          <t xml:space="preserve">
Drop Down: Yes or No</t>
        </r>
      </text>
    </comment>
  </commentList>
</comments>
</file>

<file path=xl/sharedStrings.xml><?xml version="1.0" encoding="utf-8"?>
<sst xmlns="http://schemas.openxmlformats.org/spreadsheetml/2006/main" count="806" uniqueCount="151">
  <si>
    <t>Chicken Lip Nuggets</t>
  </si>
  <si>
    <t>Chicken Feather Soup</t>
  </si>
  <si>
    <t>PRODUCTS</t>
  </si>
  <si>
    <t>BRAND</t>
  </si>
  <si>
    <t>PACK SIZE</t>
  </si>
  <si>
    <t>CATEGORY</t>
  </si>
  <si>
    <t>Meal Solutions</t>
  </si>
  <si>
    <t>AISLE</t>
  </si>
  <si>
    <t>Freezer</t>
  </si>
  <si>
    <t>SHELF LIFE</t>
  </si>
  <si>
    <t>Months</t>
  </si>
  <si>
    <t>ANNUAL</t>
  </si>
  <si>
    <t>TOTAL VOL</t>
  </si>
  <si>
    <t>UNITS</t>
  </si>
  <si>
    <t>WOOLWORTHS</t>
  </si>
  <si>
    <t>OF WHICH</t>
  </si>
  <si>
    <t>1.</t>
  </si>
  <si>
    <t>2.</t>
  </si>
  <si>
    <t>3.</t>
  </si>
  <si>
    <t>4.</t>
  </si>
  <si>
    <t>5.</t>
  </si>
  <si>
    <t>6.</t>
  </si>
  <si>
    <t>Total Units</t>
  </si>
  <si>
    <t>WOOLWORTHS STORES</t>
  </si>
  <si>
    <t>RANGING</t>
  </si>
  <si>
    <t>OTHER / MARKETS / E-COM</t>
  </si>
  <si>
    <t>UPSPW</t>
  </si>
  <si>
    <t>RRP</t>
  </si>
  <si>
    <t>N/A</t>
  </si>
  <si>
    <t>-----</t>
  </si>
  <si>
    <t>OTHER</t>
  </si>
  <si>
    <t>UPW</t>
  </si>
  <si>
    <t>Percentage split (balance)</t>
  </si>
  <si>
    <t xml:space="preserve">UNIT </t>
  </si>
  <si>
    <t>PRICING</t>
  </si>
  <si>
    <t xml:space="preserve">Big Hens Inedible Chicken Delights </t>
  </si>
  <si>
    <t>OTHER RETAIL</t>
  </si>
  <si>
    <t>OTHER RETAIL (INDIES / COLES)</t>
  </si>
  <si>
    <t>GST</t>
  </si>
  <si>
    <t>YES</t>
  </si>
  <si>
    <t>NO</t>
  </si>
  <si>
    <t>Chicken Lips</t>
  </si>
  <si>
    <t>Ingredients - Batch</t>
  </si>
  <si>
    <t>Tapioca Starch</t>
  </si>
  <si>
    <t>Garlic Powder</t>
  </si>
  <si>
    <t>Onion Powder</t>
  </si>
  <si>
    <t>Salt</t>
  </si>
  <si>
    <t>White Pepper</t>
  </si>
  <si>
    <t>Panko Crumbs</t>
  </si>
  <si>
    <t>Batter Premix</t>
  </si>
  <si>
    <t>Water</t>
  </si>
  <si>
    <t>Oil</t>
  </si>
  <si>
    <t>%</t>
  </si>
  <si>
    <t>KG</t>
  </si>
  <si>
    <t>Total</t>
  </si>
  <si>
    <t>COST/KG</t>
  </si>
  <si>
    <t>Carrot - Grated</t>
  </si>
  <si>
    <t>YIELD</t>
  </si>
  <si>
    <t>INPUT KG</t>
  </si>
  <si>
    <t>COST / BATCH</t>
  </si>
  <si>
    <t>PRODUCT</t>
  </si>
  <si>
    <t>DECLARED WT.</t>
  </si>
  <si>
    <t>AV. ACTUAL WT.</t>
  </si>
  <si>
    <t>Packaging - Batch</t>
  </si>
  <si>
    <t>EA</t>
  </si>
  <si>
    <t>Pre-Printed Pouch</t>
  </si>
  <si>
    <t>Carton / Shelf Ready (6's)</t>
  </si>
  <si>
    <t>COST/EA</t>
  </si>
  <si>
    <r>
      <t xml:space="preserve">Direct Labour - Batch </t>
    </r>
    <r>
      <rPr>
        <b/>
        <sz val="8"/>
        <color theme="0"/>
        <rFont val="Aptos Narrow"/>
        <family val="2"/>
        <scheme val="minor"/>
      </rPr>
      <t>(includes super, entitlements &amp; work cover)</t>
    </r>
  </si>
  <si>
    <t>Casual Staff</t>
  </si>
  <si>
    <t>HEADS</t>
  </si>
  <si>
    <t>HOURS</t>
  </si>
  <si>
    <t>RATE/Hr</t>
  </si>
  <si>
    <t>Full Time</t>
  </si>
  <si>
    <t>Electricity</t>
  </si>
  <si>
    <t>Rent / Warehousing</t>
  </si>
  <si>
    <t>Office Supplies</t>
  </si>
  <si>
    <t>Production Consumables (gloves, pallet wrap etc)</t>
  </si>
  <si>
    <t>Insurance</t>
  </si>
  <si>
    <t>KG/YEAR</t>
  </si>
  <si>
    <t>Audit Costs</t>
  </si>
  <si>
    <t>Certifications</t>
  </si>
  <si>
    <r>
      <t>Full Time Admin &amp; Other Staff</t>
    </r>
    <r>
      <rPr>
        <sz val="8"/>
        <color theme="1"/>
        <rFont val="Aptos Narrow"/>
        <family val="2"/>
        <scheme val="minor"/>
      </rPr>
      <t xml:space="preserve"> (incl owners if not included in production)</t>
    </r>
  </si>
  <si>
    <t>PER YEAR</t>
  </si>
  <si>
    <t>Overheads - Batch (total annual cost / kg per annum)</t>
  </si>
  <si>
    <t>Total Kilos P/A (As in Sheet 1)</t>
  </si>
  <si>
    <t>TOTAL OVERHEAD ALLOCATION / Kilo</t>
  </si>
  <si>
    <t>TOTAL BATCH WAGES</t>
  </si>
  <si>
    <t>TOTAL BATCH PACKAGING</t>
  </si>
  <si>
    <t>TOTAL BATCH COST (Incl Overheads)</t>
  </si>
  <si>
    <t>TOTAL OVERHEAD ALLOCATION / BATCH</t>
  </si>
  <si>
    <t>TOTAL UNITS PRODUCED</t>
  </si>
  <si>
    <t>TOTAL CARTONS PRODUCED</t>
  </si>
  <si>
    <t>Seedlab team members do not need this level of information unless working with you on reducing costs in a private mentor session</t>
  </si>
  <si>
    <t>PACK</t>
  </si>
  <si>
    <t>SIZE</t>
  </si>
  <si>
    <t>CARTON</t>
  </si>
  <si>
    <t>GIVE AWAY %</t>
  </si>
  <si>
    <r>
      <t>NUMBER OF SKU's</t>
    </r>
    <r>
      <rPr>
        <b/>
        <sz val="8"/>
        <color theme="0"/>
        <rFont val="Aptos Narrow"/>
        <family val="2"/>
        <scheme val="minor"/>
      </rPr>
      <t xml:space="preserve"> (to be assessed in this workbook)</t>
    </r>
  </si>
  <si>
    <r>
      <t xml:space="preserve">Please provide any notes you wish to share with the Seedlab Team:
</t>
    </r>
    <r>
      <rPr>
        <i/>
        <sz val="11"/>
        <color theme="1"/>
        <rFont val="Aptos Narrow"/>
        <family val="2"/>
        <scheme val="minor"/>
      </rPr>
      <t xml:space="preserve"> </t>
    </r>
  </si>
  <si>
    <t>EA REQ.</t>
  </si>
  <si>
    <t>COST/Batch</t>
  </si>
  <si>
    <t>EX</t>
  </si>
  <si>
    <t>Nearest Competitor (Woolworths)</t>
  </si>
  <si>
    <t>Difference</t>
  </si>
  <si>
    <t>RSP</t>
  </si>
  <si>
    <t>Unit Price</t>
  </si>
  <si>
    <t>Woolworths</t>
  </si>
  <si>
    <t>Other Retail (Average)</t>
  </si>
  <si>
    <t>Other (Direct To Customer)</t>
  </si>
  <si>
    <t>Cheapest Competitor (Woolworths)</t>
  </si>
  <si>
    <t>Standard</t>
  </si>
  <si>
    <t>Promotion</t>
  </si>
  <si>
    <t>Deep Cut</t>
  </si>
  <si>
    <t>Frequency</t>
  </si>
  <si>
    <t>Monthly</t>
  </si>
  <si>
    <t>Fortnightly</t>
  </si>
  <si>
    <t>PRODUCT PRICING REVIEW</t>
  </si>
  <si>
    <t>CUSTOMER MARGIN REVIEW</t>
  </si>
  <si>
    <t>Rebates (Collective)</t>
  </si>
  <si>
    <t>Retailer Margin</t>
  </si>
  <si>
    <t>Retailer Net Buy Price</t>
  </si>
  <si>
    <t>Retailer Actual Sell Price</t>
  </si>
  <si>
    <t>Retailer / Consumer Buy Price</t>
  </si>
  <si>
    <t>Category Expectations</t>
  </si>
  <si>
    <t>Gap %</t>
  </si>
  <si>
    <t>Gap $</t>
  </si>
  <si>
    <t>TOP DOWN</t>
  </si>
  <si>
    <t>Freight</t>
  </si>
  <si>
    <t>Current Cost</t>
  </si>
  <si>
    <t>Current Margin $</t>
  </si>
  <si>
    <t>Current Margin %</t>
  </si>
  <si>
    <t>Target Sell Price</t>
  </si>
  <si>
    <t>New Margin $</t>
  </si>
  <si>
    <t>New Margin %</t>
  </si>
  <si>
    <t>BOTTOM UP</t>
  </si>
  <si>
    <t>Current Volume</t>
  </si>
  <si>
    <t>Current Value</t>
  </si>
  <si>
    <t>*** This sheet is confidential, please use this to obtain your product cost, but do not share the document. Please print the 'Products &amp; Volume' sheet and the 'Analysis' sheets as a PDF file for the Seedlab team to review ***</t>
  </si>
  <si>
    <t xml:space="preserve">Once complete, please click the PRINT button and save as PDF for sharing with the Seedlab team. </t>
  </si>
  <si>
    <t>Analysis</t>
  </si>
  <si>
    <t>QUESTIONS FOR CONSIDERATION:</t>
  </si>
  <si>
    <t xml:space="preserve">On comparing your RSP &amp; Unit Pricing, is an adjustment required for this product in order to be competitive? </t>
  </si>
  <si>
    <t xml:space="preserve">If so, what does this do to your margins? </t>
  </si>
  <si>
    <t>If your overheads make your product non-proffitable, what needs to happen to change it?</t>
  </si>
  <si>
    <t>ProductVol</t>
  </si>
  <si>
    <t xml:space="preserve">This page is for all your basic information. If you have more than one SKU, please fill in up to 6 SKU's. If you need to do more for your own records, it will be easiest to do multiple workbooks. 
The fields in yellow are to be filled in, other cells will self calculate and feed through the document. 
Please hover your curser over the red triangle when in a cell, this will provide more information on what is required. </t>
  </si>
  <si>
    <r>
      <t xml:space="preserve">Other </t>
    </r>
    <r>
      <rPr>
        <sz val="9"/>
        <color theme="1"/>
        <rFont val="Aptos Narrow"/>
        <family val="2"/>
        <scheme val="minor"/>
      </rPr>
      <t>(Marketing, forklift hire, interest from loans etc)</t>
    </r>
  </si>
  <si>
    <t xml:space="preserve">Where can savings be made to COGS? Consider big wins first. </t>
  </si>
  <si>
    <t xml:space="preserve">What are the risks associated with your current distribution / sales spread? </t>
  </si>
  <si>
    <t xml:space="preserve">Notes on this 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</si>
</sst>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0.00_);_(&quot;$&quot;* \(#,##0.00\);_(&quot;$&quot;* &quot;-&quot;??_);_(@_)"/>
    <numFmt numFmtId="165" formatCode="_(* #,##0.00_);_(* \(#,##0.00\);_(* &quot;-&quot;??_);_(@_)"/>
    <numFmt numFmtId="166" formatCode="0.000"/>
    <numFmt numFmtId="167" formatCode="_-* #,##0_-;\-* #,##0_-;_-* &quot;-&quot;??_-;_-@_-"/>
    <numFmt numFmtId="168" formatCode="0.0%"/>
    <numFmt numFmtId="169" formatCode="0.0000"/>
    <numFmt numFmtId="170" formatCode="0.0000000"/>
    <numFmt numFmtId="171" formatCode="_-&quot;$&quot;* #,##0.00_-;\-&quot;$&quot;* #,##0.00_-;_-&quot;$&quot;* &quot;-&quot;????_-;_-@_-"/>
    <numFmt numFmtId="172" formatCode="_-* #,##0_-;\-* #,##0_-;_-* &quot;-&quot;???_-;_-@_-"/>
    <numFmt numFmtId="173" formatCode="_-&quot;$&quot;* #,##0_-;\-&quot;$&quot;* #,##0_-;_-&quot;$&quot;* &quot;-&quot;??_-;_-@_-"/>
  </numFmts>
  <fonts count="2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9"/>
      <color indexed="81"/>
      <name val="Tahoma"/>
      <family val="2"/>
    </font>
    <font>
      <b/>
      <sz val="9"/>
      <color indexed="81"/>
      <name val="Tahoma"/>
      <family val="2"/>
    </font>
    <font>
      <i/>
      <sz val="11"/>
      <color theme="1"/>
      <name val="Aptos Narrow"/>
      <family val="2"/>
      <scheme val="minor"/>
    </font>
    <font>
      <b/>
      <i/>
      <sz val="11"/>
      <color theme="1"/>
      <name val="Aptos Narrow"/>
      <family val="2"/>
      <scheme val="minor"/>
    </font>
    <font>
      <sz val="11"/>
      <name val="Aptos Narrow"/>
      <family val="2"/>
      <scheme val="minor"/>
    </font>
    <font>
      <b/>
      <sz val="10"/>
      <color theme="0"/>
      <name val="Aptos Narrow"/>
      <family val="2"/>
      <scheme val="minor"/>
    </font>
    <font>
      <b/>
      <sz val="8"/>
      <color theme="0"/>
      <name val="Aptos Narrow"/>
      <family val="2"/>
      <scheme val="minor"/>
    </font>
    <font>
      <sz val="10"/>
      <color theme="1"/>
      <name val="Aptos Narrow"/>
      <family val="2"/>
      <scheme val="minor"/>
    </font>
    <font>
      <sz val="8"/>
      <color theme="1"/>
      <name val="Aptos Narrow"/>
      <family val="2"/>
      <scheme val="minor"/>
    </font>
    <font>
      <b/>
      <sz val="11"/>
      <name val="Aptos Narrow"/>
      <family val="2"/>
      <scheme val="minor"/>
    </font>
    <font>
      <b/>
      <sz val="10"/>
      <color theme="1"/>
      <name val="Aptos Narrow"/>
      <family val="2"/>
      <scheme val="minor"/>
    </font>
    <font>
      <b/>
      <sz val="12"/>
      <color theme="0"/>
      <name val="Aptos Narrow"/>
      <family val="2"/>
      <scheme val="minor"/>
    </font>
    <font>
      <sz val="10"/>
      <color theme="0"/>
      <name val="Aptos Narrow"/>
      <family val="2"/>
      <scheme val="minor"/>
    </font>
    <font>
      <sz val="9"/>
      <color theme="1"/>
      <name val="Aptos Narrow"/>
      <family val="2"/>
      <scheme val="minor"/>
    </font>
  </fonts>
  <fills count="11">
    <fill>
      <patternFill patternType="none"/>
    </fill>
    <fill>
      <patternFill patternType="gray125"/>
    </fill>
    <fill>
      <patternFill patternType="solid">
        <fgColor theme="1" tint="0.249977111117893"/>
        <bgColor indexed="64"/>
      </patternFill>
    </fill>
    <fill>
      <patternFill patternType="solid">
        <fgColor rgb="FFFFFFCC"/>
        <bgColor indexed="64"/>
      </patternFill>
    </fill>
    <fill>
      <patternFill patternType="solid">
        <fgColor theme="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3" tint="0.249977111117893"/>
        <bgColor indexed="64"/>
      </patternFill>
    </fill>
    <fill>
      <patternFill patternType="solid">
        <fgColor theme="8" tint="-0.249977111117893"/>
        <bgColor indexed="64"/>
      </patternFill>
    </fill>
    <fill>
      <patternFill patternType="solid">
        <fgColor theme="2"/>
        <bgColor indexed="64"/>
      </patternFill>
    </fill>
    <fill>
      <patternFill patternType="solid">
        <fgColor theme="5" tint="0.39997558519241921"/>
        <bgColor indexed="64"/>
      </patternFill>
    </fill>
  </fills>
  <borders count="24">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73">
    <xf numFmtId="0" fontId="0" fillId="0" borderId="0" xfId="0"/>
    <xf numFmtId="0" fontId="0" fillId="0" borderId="0" xfId="0" applyAlignment="1">
      <alignment horizontal="center"/>
    </xf>
    <xf numFmtId="0" fontId="2" fillId="2" borderId="0" xfId="0" applyFont="1" applyFill="1"/>
    <xf numFmtId="0" fontId="0" fillId="3" borderId="1" xfId="0" applyFill="1" applyBorder="1"/>
    <xf numFmtId="166" fontId="0" fillId="3" borderId="3" xfId="0" applyNumberFormat="1" applyFill="1" applyBorder="1"/>
    <xf numFmtId="0" fontId="0" fillId="3" borderId="3" xfId="0" applyFill="1" applyBorder="1"/>
    <xf numFmtId="0" fontId="0" fillId="3" borderId="2" xfId="0" applyFill="1" applyBorder="1"/>
    <xf numFmtId="0" fontId="0" fillId="3" borderId="5" xfId="0" applyFill="1" applyBorder="1"/>
    <xf numFmtId="0" fontId="0" fillId="3" borderId="4" xfId="0" applyFill="1" applyBorder="1"/>
    <xf numFmtId="166" fontId="0" fillId="3" borderId="5" xfId="0" applyNumberFormat="1" applyFill="1" applyBorder="1" applyAlignment="1">
      <alignment horizontal="center" vertical="center"/>
    </xf>
    <xf numFmtId="167" fontId="0" fillId="3" borderId="5" xfId="1" applyNumberFormat="1" applyFont="1" applyFill="1" applyBorder="1" applyAlignment="1">
      <alignment horizontal="center" vertical="center"/>
    </xf>
    <xf numFmtId="0" fontId="0" fillId="3" borderId="5" xfId="0" applyFill="1" applyBorder="1" applyAlignment="1">
      <alignment horizontal="center" vertical="center"/>
    </xf>
    <xf numFmtId="0" fontId="0" fillId="3" borderId="4" xfId="0" applyFill="1" applyBorder="1" applyAlignment="1">
      <alignment horizontal="center" vertical="center"/>
    </xf>
    <xf numFmtId="0" fontId="4" fillId="2" borderId="0" xfId="0" applyFont="1" applyFill="1" applyAlignment="1">
      <alignment horizontal="center" vertical="center"/>
    </xf>
    <xf numFmtId="0" fontId="0" fillId="3" borderId="6" xfId="0" applyFill="1" applyBorder="1"/>
    <xf numFmtId="164" fontId="0" fillId="3" borderId="5" xfId="2" applyFont="1" applyFill="1" applyBorder="1" applyAlignment="1">
      <alignment horizontal="center" vertical="center"/>
    </xf>
    <xf numFmtId="164" fontId="0" fillId="3" borderId="4" xfId="2" applyFont="1" applyFill="1" applyBorder="1" applyAlignment="1">
      <alignment horizontal="center" vertical="center"/>
    </xf>
    <xf numFmtId="0" fontId="2" fillId="2" borderId="6" xfId="0" applyFont="1" applyFill="1" applyBorder="1"/>
    <xf numFmtId="0" fontId="4" fillId="2" borderId="6" xfId="0" applyFont="1" applyFill="1" applyBorder="1"/>
    <xf numFmtId="0" fontId="0" fillId="3" borderId="6" xfId="0" applyFill="1" applyBorder="1" applyAlignment="1">
      <alignment horizontal="center"/>
    </xf>
    <xf numFmtId="0" fontId="2" fillId="2" borderId="7" xfId="0" applyFont="1" applyFill="1" applyBorder="1"/>
    <xf numFmtId="0" fontId="2" fillId="2" borderId="4" xfId="0" applyFont="1" applyFill="1" applyBorder="1"/>
    <xf numFmtId="0" fontId="0" fillId="2" borderId="7" xfId="0" applyFill="1" applyBorder="1"/>
    <xf numFmtId="0" fontId="2" fillId="2" borderId="0" xfId="0" quotePrefix="1" applyFont="1" applyFill="1" applyAlignment="1">
      <alignment horizontal="center"/>
    </xf>
    <xf numFmtId="164" fontId="0" fillId="3" borderId="7" xfId="2" applyFont="1" applyFill="1" applyBorder="1" applyAlignment="1">
      <alignment horizontal="center" vertical="center"/>
    </xf>
    <xf numFmtId="0" fontId="0" fillId="2" borderId="7" xfId="0" applyFill="1" applyBorder="1" applyAlignment="1">
      <alignment horizontal="center"/>
    </xf>
    <xf numFmtId="164" fontId="0" fillId="3" borderId="3" xfId="2" applyFont="1" applyFill="1" applyBorder="1" applyAlignment="1">
      <alignment horizontal="center" vertical="center"/>
    </xf>
    <xf numFmtId="164" fontId="0" fillId="3" borderId="2" xfId="2" applyFont="1" applyFill="1" applyBorder="1" applyAlignment="1">
      <alignment horizontal="center" vertical="center"/>
    </xf>
    <xf numFmtId="164" fontId="0" fillId="4" borderId="8" xfId="0" applyNumberFormat="1" applyFill="1" applyBorder="1"/>
    <xf numFmtId="164" fontId="0" fillId="4" borderId="9" xfId="0" applyNumberFormat="1" applyFill="1" applyBorder="1"/>
    <xf numFmtId="164" fontId="0" fillId="4" borderId="10" xfId="0" applyNumberFormat="1" applyFill="1" applyBorder="1"/>
    <xf numFmtId="0" fontId="2" fillId="2" borderId="5" xfId="0" applyFont="1" applyFill="1" applyBorder="1" applyAlignment="1">
      <alignment horizontal="center"/>
    </xf>
    <xf numFmtId="0" fontId="0" fillId="3" borderId="1" xfId="0" applyFill="1" applyBorder="1" applyAlignment="1">
      <alignment horizontal="left"/>
    </xf>
    <xf numFmtId="0" fontId="0" fillId="4" borderId="0" xfId="0" applyFill="1" applyAlignment="1">
      <alignment horizontal="center"/>
    </xf>
    <xf numFmtId="0" fontId="0" fillId="4" borderId="7" xfId="0" applyFill="1" applyBorder="1" applyAlignment="1">
      <alignment horizontal="center"/>
    </xf>
    <xf numFmtId="0" fontId="0" fillId="4" borderId="5" xfId="0" applyFill="1" applyBorder="1" applyAlignment="1">
      <alignment horizontal="center"/>
    </xf>
    <xf numFmtId="0" fontId="0" fillId="4" borderId="4" xfId="0" applyFill="1" applyBorder="1" applyAlignment="1">
      <alignment horizontal="center"/>
    </xf>
    <xf numFmtId="0" fontId="2" fillId="2" borderId="2" xfId="0" applyFont="1" applyFill="1" applyBorder="1" applyAlignment="1">
      <alignment horizontal="center"/>
    </xf>
    <xf numFmtId="164" fontId="0" fillId="3" borderId="7" xfId="2" applyFont="1" applyFill="1" applyBorder="1"/>
    <xf numFmtId="164" fontId="0" fillId="3" borderId="5" xfId="2" applyFont="1" applyFill="1" applyBorder="1"/>
    <xf numFmtId="164" fontId="0" fillId="3" borderId="4" xfId="2" applyFont="1" applyFill="1" applyBorder="1"/>
    <xf numFmtId="10" fontId="0" fillId="4" borderId="5" xfId="3" applyNumberFormat="1" applyFont="1" applyFill="1" applyBorder="1"/>
    <xf numFmtId="0" fontId="0" fillId="3" borderId="3" xfId="0" applyFill="1" applyBorder="1" applyAlignment="1">
      <alignment horizontal="left"/>
    </xf>
    <xf numFmtId="0" fontId="0" fillId="3" borderId="0" xfId="0" applyFill="1" applyAlignment="1">
      <alignment horizontal="left"/>
    </xf>
    <xf numFmtId="0" fontId="0" fillId="3" borderId="2" xfId="0" applyFill="1" applyBorder="1" applyAlignment="1">
      <alignment horizontal="left"/>
    </xf>
    <xf numFmtId="9" fontId="0" fillId="3" borderId="5" xfId="0" applyNumberFormat="1" applyFill="1" applyBorder="1" applyAlignment="1">
      <alignment horizontal="center"/>
    </xf>
    <xf numFmtId="9" fontId="0" fillId="3" borderId="4" xfId="0" applyNumberFormat="1" applyFill="1" applyBorder="1" applyAlignment="1">
      <alignment horizontal="center"/>
    </xf>
    <xf numFmtId="170" fontId="0" fillId="0" borderId="0" xfId="0" applyNumberFormat="1"/>
    <xf numFmtId="169" fontId="10" fillId="4" borderId="5" xfId="0" applyNumberFormat="1" applyFont="1" applyFill="1" applyBorder="1"/>
    <xf numFmtId="0" fontId="2" fillId="2" borderId="0" xfId="0" applyFont="1" applyFill="1" applyAlignment="1">
      <alignment horizontal="center"/>
    </xf>
    <xf numFmtId="171" fontId="0" fillId="4" borderId="5" xfId="0" applyNumberFormat="1" applyFill="1" applyBorder="1"/>
    <xf numFmtId="168" fontId="0" fillId="0" borderId="6" xfId="3" applyNumberFormat="1" applyFont="1" applyBorder="1"/>
    <xf numFmtId="169" fontId="0" fillId="0" borderId="6" xfId="0" applyNumberFormat="1" applyBorder="1"/>
    <xf numFmtId="1" fontId="0" fillId="3" borderId="18" xfId="0" applyNumberFormat="1" applyFill="1" applyBorder="1"/>
    <xf numFmtId="1" fontId="0" fillId="3" borderId="3" xfId="0" applyNumberFormat="1" applyFill="1" applyBorder="1"/>
    <xf numFmtId="164" fontId="0" fillId="3" borderId="0" xfId="2" applyFont="1" applyFill="1" applyBorder="1"/>
    <xf numFmtId="166" fontId="0" fillId="3" borderId="2" xfId="0" applyNumberFormat="1" applyFill="1" applyBorder="1"/>
    <xf numFmtId="165" fontId="0" fillId="3" borderId="7" xfId="1" applyFont="1" applyFill="1" applyBorder="1"/>
    <xf numFmtId="0" fontId="2" fillId="2" borderId="3" xfId="0" applyFont="1" applyFill="1" applyBorder="1" applyAlignment="1">
      <alignment horizontal="center"/>
    </xf>
    <xf numFmtId="1" fontId="0" fillId="3" borderId="2" xfId="0" applyNumberFormat="1" applyFill="1" applyBorder="1"/>
    <xf numFmtId="165" fontId="0" fillId="3" borderId="4" xfId="1" applyFont="1" applyFill="1" applyBorder="1"/>
    <xf numFmtId="164" fontId="0" fillId="3" borderId="3" xfId="2" applyFont="1" applyFill="1" applyBorder="1"/>
    <xf numFmtId="172" fontId="0" fillId="4" borderId="7" xfId="0" applyNumberFormat="1" applyFill="1" applyBorder="1"/>
    <xf numFmtId="172" fontId="0" fillId="4" borderId="5" xfId="0" applyNumberFormat="1" applyFill="1" applyBorder="1"/>
    <xf numFmtId="172" fontId="0" fillId="4" borderId="4" xfId="0" applyNumberFormat="1" applyFill="1" applyBorder="1"/>
    <xf numFmtId="0" fontId="0" fillId="0" borderId="0" xfId="0" applyAlignment="1">
      <alignment horizontal="left"/>
    </xf>
    <xf numFmtId="1" fontId="0" fillId="0" borderId="0" xfId="0" applyNumberFormat="1"/>
    <xf numFmtId="165" fontId="0" fillId="0" borderId="0" xfId="1" applyFont="1" applyFill="1" applyBorder="1"/>
    <xf numFmtId="167" fontId="3" fillId="4" borderId="6" xfId="0" applyNumberFormat="1" applyFont="1" applyFill="1" applyBorder="1" applyAlignment="1">
      <alignment horizontal="center" vertical="center"/>
    </xf>
    <xf numFmtId="0" fontId="0" fillId="4" borderId="0" xfId="0" applyFill="1"/>
    <xf numFmtId="9" fontId="3" fillId="4" borderId="6" xfId="3" applyFont="1" applyFill="1" applyBorder="1" applyAlignment="1">
      <alignment horizontal="center" vertical="center"/>
    </xf>
    <xf numFmtId="164" fontId="0" fillId="3" borderId="2" xfId="2" applyFont="1" applyFill="1" applyBorder="1"/>
    <xf numFmtId="164" fontId="0" fillId="4" borderId="7" xfId="2" applyFont="1" applyFill="1" applyBorder="1"/>
    <xf numFmtId="164" fontId="0" fillId="4" borderId="5" xfId="2" applyFont="1" applyFill="1" applyBorder="1"/>
    <xf numFmtId="164" fontId="0" fillId="4" borderId="4" xfId="2" applyFont="1" applyFill="1" applyBorder="1"/>
    <xf numFmtId="0" fontId="0" fillId="4" borderId="20" xfId="0" applyFill="1" applyBorder="1"/>
    <xf numFmtId="0" fontId="0" fillId="4" borderId="21" xfId="0" applyFill="1" applyBorder="1"/>
    <xf numFmtId="0" fontId="0" fillId="4" borderId="17" xfId="0" applyFill="1" applyBorder="1"/>
    <xf numFmtId="166" fontId="0" fillId="0" borderId="0" xfId="0" applyNumberFormat="1"/>
    <xf numFmtId="164" fontId="0" fillId="0" borderId="0" xfId="2" applyFont="1" applyFill="1" applyBorder="1"/>
    <xf numFmtId="0" fontId="0" fillId="3" borderId="19" xfId="0" applyFill="1" applyBorder="1"/>
    <xf numFmtId="167" fontId="0" fillId="4" borderId="6" xfId="1" applyNumberFormat="1" applyFont="1" applyFill="1" applyBorder="1" applyAlignment="1"/>
    <xf numFmtId="0" fontId="2" fillId="2" borderId="20" xfId="0" applyFont="1" applyFill="1" applyBorder="1" applyAlignment="1">
      <alignment horizontal="center"/>
    </xf>
    <xf numFmtId="0" fontId="2" fillId="2" borderId="21" xfId="0" applyFont="1" applyFill="1" applyBorder="1" applyAlignment="1">
      <alignment horizontal="center"/>
    </xf>
    <xf numFmtId="0" fontId="2" fillId="2" borderId="17" xfId="0" applyFont="1" applyFill="1" applyBorder="1" applyAlignment="1">
      <alignment horizontal="center"/>
    </xf>
    <xf numFmtId="164" fontId="3" fillId="6" borderId="6" xfId="2" applyFont="1" applyFill="1" applyBorder="1"/>
    <xf numFmtId="164" fontId="3" fillId="6" borderId="6" xfId="0" applyNumberFormat="1" applyFont="1" applyFill="1" applyBorder="1"/>
    <xf numFmtId="164" fontId="3" fillId="6" borderId="4" xfId="2" applyFont="1" applyFill="1" applyBorder="1"/>
    <xf numFmtId="0" fontId="0" fillId="4" borderId="20" xfId="0" applyFill="1" applyBorder="1" applyAlignment="1">
      <alignment horizontal="left"/>
    </xf>
    <xf numFmtId="166" fontId="0" fillId="4" borderId="21" xfId="0" applyNumberFormat="1" applyFill="1" applyBorder="1"/>
    <xf numFmtId="164" fontId="0" fillId="4" borderId="17" xfId="2" applyFont="1" applyFill="1" applyBorder="1"/>
    <xf numFmtId="164" fontId="0" fillId="4" borderId="21" xfId="2" applyFont="1" applyFill="1" applyBorder="1"/>
    <xf numFmtId="0" fontId="0" fillId="4" borderId="0" xfId="0" quotePrefix="1" applyFill="1" applyAlignment="1">
      <alignment horizontal="right"/>
    </xf>
    <xf numFmtId="0" fontId="3" fillId="4" borderId="0" xfId="0" applyFont="1" applyFill="1"/>
    <xf numFmtId="165" fontId="0" fillId="4" borderId="0" xfId="0" applyNumberFormat="1" applyFill="1"/>
    <xf numFmtId="0" fontId="0" fillId="4" borderId="18" xfId="0" applyFill="1" applyBorder="1"/>
    <xf numFmtId="0" fontId="0" fillId="4" borderId="3" xfId="0" applyFill="1" applyBorder="1"/>
    <xf numFmtId="0" fontId="0" fillId="4" borderId="2" xfId="0" applyFill="1" applyBorder="1"/>
    <xf numFmtId="0" fontId="0" fillId="4" borderId="10" xfId="0" quotePrefix="1" applyFill="1" applyBorder="1" applyAlignment="1">
      <alignment horizontal="center"/>
    </xf>
    <xf numFmtId="0" fontId="2" fillId="2" borderId="20" xfId="0" applyFont="1" applyFill="1" applyBorder="1"/>
    <xf numFmtId="0" fontId="2" fillId="2" borderId="17" xfId="0" applyFont="1" applyFill="1" applyBorder="1"/>
    <xf numFmtId="165" fontId="3" fillId="4" borderId="5" xfId="0" applyNumberFormat="1" applyFont="1" applyFill="1" applyBorder="1"/>
    <xf numFmtId="165" fontId="3" fillId="4" borderId="4" xfId="0" applyNumberFormat="1" applyFont="1" applyFill="1" applyBorder="1"/>
    <xf numFmtId="0" fontId="0" fillId="2" borderId="6" xfId="0" applyFill="1" applyBorder="1"/>
    <xf numFmtId="1" fontId="0" fillId="3" borderId="5" xfId="0" applyNumberFormat="1" applyFill="1" applyBorder="1" applyAlignment="1">
      <alignment horizontal="center" vertical="center"/>
    </xf>
    <xf numFmtId="167" fontId="0" fillId="4" borderId="20" xfId="1" applyNumberFormat="1" applyFont="1" applyFill="1" applyBorder="1" applyAlignment="1">
      <alignment horizontal="center" vertical="center"/>
    </xf>
    <xf numFmtId="164" fontId="3" fillId="6" borderId="4" xfId="0" applyNumberFormat="1" applyFont="1" applyFill="1" applyBorder="1"/>
    <xf numFmtId="164" fontId="0" fillId="3" borderId="19" xfId="2" applyFont="1" applyFill="1" applyBorder="1"/>
    <xf numFmtId="164" fontId="0" fillId="3" borderId="1" xfId="2" applyFont="1" applyFill="1" applyBorder="1"/>
    <xf numFmtId="166" fontId="0" fillId="4" borderId="1" xfId="0" applyNumberFormat="1" applyFill="1" applyBorder="1"/>
    <xf numFmtId="1" fontId="0" fillId="3" borderId="7" xfId="0" applyNumberFormat="1" applyFill="1" applyBorder="1"/>
    <xf numFmtId="1" fontId="0" fillId="3" borderId="5" xfId="0" applyNumberFormat="1" applyFill="1" applyBorder="1"/>
    <xf numFmtId="1" fontId="0" fillId="3" borderId="4" xfId="0" applyNumberFormat="1" applyFill="1" applyBorder="1"/>
    <xf numFmtId="166" fontId="0" fillId="3" borderId="4" xfId="0" applyNumberFormat="1" applyFill="1" applyBorder="1" applyAlignment="1">
      <alignment horizontal="center" vertical="center"/>
    </xf>
    <xf numFmtId="166" fontId="3" fillId="4" borderId="6" xfId="0" applyNumberFormat="1" applyFont="1" applyFill="1" applyBorder="1"/>
    <xf numFmtId="0" fontId="13" fillId="2" borderId="7" xfId="0" applyFont="1" applyFill="1" applyBorder="1"/>
    <xf numFmtId="0" fontId="11" fillId="2" borderId="7" xfId="0" applyFont="1" applyFill="1" applyBorder="1"/>
    <xf numFmtId="0" fontId="13" fillId="2" borderId="7" xfId="0" applyFont="1" applyFill="1" applyBorder="1" applyAlignment="1">
      <alignment horizontal="left"/>
    </xf>
    <xf numFmtId="0" fontId="11" fillId="2" borderId="7" xfId="0" applyFont="1" applyFill="1" applyBorder="1" applyAlignment="1">
      <alignment horizontal="left"/>
    </xf>
    <xf numFmtId="0" fontId="13" fillId="0" borderId="0" xfId="0" applyFont="1"/>
    <xf numFmtId="0" fontId="11" fillId="2" borderId="4" xfId="0" applyFont="1" applyFill="1" applyBorder="1"/>
    <xf numFmtId="0" fontId="11" fillId="2" borderId="5" xfId="0" applyFont="1" applyFill="1" applyBorder="1"/>
    <xf numFmtId="0" fontId="11" fillId="2" borderId="5" xfId="0" applyFont="1" applyFill="1" applyBorder="1" applyAlignment="1">
      <alignment horizontal="left"/>
    </xf>
    <xf numFmtId="0" fontId="16" fillId="4" borderId="6" xfId="0" applyFont="1" applyFill="1" applyBorder="1"/>
    <xf numFmtId="166" fontId="13" fillId="4" borderId="20" xfId="0" applyNumberFormat="1" applyFont="1" applyFill="1" applyBorder="1" applyAlignment="1">
      <alignment horizontal="center" vertical="center"/>
    </xf>
    <xf numFmtId="164" fontId="13" fillId="4" borderId="20" xfId="2" applyFont="1" applyFill="1" applyBorder="1" applyAlignment="1">
      <alignment horizontal="center" vertical="center"/>
    </xf>
    <xf numFmtId="164" fontId="13" fillId="4" borderId="6" xfId="2" applyFont="1" applyFill="1" applyBorder="1" applyAlignment="1">
      <alignment horizontal="center" vertical="center"/>
    </xf>
    <xf numFmtId="0" fontId="13" fillId="4" borderId="20" xfId="0" applyFont="1" applyFill="1" applyBorder="1"/>
    <xf numFmtId="0" fontId="13" fillId="4" borderId="21" xfId="0" applyFont="1" applyFill="1" applyBorder="1"/>
    <xf numFmtId="0" fontId="13" fillId="4" borderId="17" xfId="0" applyFont="1" applyFill="1" applyBorder="1"/>
    <xf numFmtId="9" fontId="13" fillId="4" borderId="6" xfId="0" applyNumberFormat="1" applyFont="1" applyFill="1" applyBorder="1" applyAlignment="1">
      <alignment horizontal="center"/>
    </xf>
    <xf numFmtId="0" fontId="13" fillId="4" borderId="6" xfId="0" applyFont="1" applyFill="1" applyBorder="1" applyAlignment="1">
      <alignment horizontal="center"/>
    </xf>
    <xf numFmtId="0" fontId="16" fillId="0" borderId="20" xfId="0" applyFont="1" applyBorder="1"/>
    <xf numFmtId="166" fontId="13" fillId="3" borderId="6" xfId="0" applyNumberFormat="1" applyFont="1" applyFill="1" applyBorder="1" applyAlignment="1">
      <alignment horizontal="center"/>
    </xf>
    <xf numFmtId="164" fontId="13" fillId="3" borderId="6" xfId="2" applyFont="1" applyFill="1" applyBorder="1"/>
    <xf numFmtId="164" fontId="13" fillId="0" borderId="6" xfId="0" applyNumberFormat="1" applyFont="1" applyBorder="1"/>
    <xf numFmtId="0" fontId="13" fillId="3" borderId="6" xfId="0" applyFont="1" applyFill="1" applyBorder="1" applyAlignment="1">
      <alignment horizontal="center"/>
    </xf>
    <xf numFmtId="164" fontId="13" fillId="0" borderId="6" xfId="0" applyNumberFormat="1" applyFont="1" applyBorder="1" applyAlignment="1">
      <alignment vertical="center"/>
    </xf>
    <xf numFmtId="168" fontId="13" fillId="0" borderId="6" xfId="3" applyNumberFormat="1" applyFont="1" applyBorder="1" applyAlignment="1">
      <alignment vertical="center"/>
    </xf>
    <xf numFmtId="9" fontId="13" fillId="3" borderId="4" xfId="0" applyNumberFormat="1" applyFont="1" applyFill="1" applyBorder="1" applyAlignment="1">
      <alignment horizontal="center"/>
    </xf>
    <xf numFmtId="9" fontId="13" fillId="3" borderId="2" xfId="0" applyNumberFormat="1" applyFont="1" applyFill="1" applyBorder="1" applyAlignment="1">
      <alignment horizontal="center"/>
    </xf>
    <xf numFmtId="9" fontId="13" fillId="3" borderId="6" xfId="0" applyNumberFormat="1" applyFont="1" applyFill="1" applyBorder="1" applyAlignment="1">
      <alignment horizontal="center"/>
    </xf>
    <xf numFmtId="9" fontId="13" fillId="3" borderId="20" xfId="0" applyNumberFormat="1" applyFont="1" applyFill="1" applyBorder="1" applyAlignment="1">
      <alignment horizontal="center"/>
    </xf>
    <xf numFmtId="0" fontId="16" fillId="0" borderId="0" xfId="0" applyFont="1"/>
    <xf numFmtId="0" fontId="13" fillId="0" borderId="6" xfId="0" applyFont="1" applyBorder="1"/>
    <xf numFmtId="0" fontId="13" fillId="2" borderId="0" xfId="0" applyFont="1" applyFill="1"/>
    <xf numFmtId="0" fontId="13" fillId="2" borderId="4" xfId="0" applyFont="1" applyFill="1" applyBorder="1"/>
    <xf numFmtId="0" fontId="2" fillId="2" borderId="6" xfId="0" applyFont="1" applyFill="1" applyBorder="1" applyAlignment="1">
      <alignment vertical="center"/>
    </xf>
    <xf numFmtId="164" fontId="13" fillId="3" borderId="7" xfId="2" applyFont="1" applyFill="1" applyBorder="1"/>
    <xf numFmtId="168" fontId="13" fillId="0" borderId="6" xfId="3" applyNumberFormat="1" applyFont="1" applyBorder="1"/>
    <xf numFmtId="168" fontId="13" fillId="0" borderId="6" xfId="3" applyNumberFormat="1" applyFont="1" applyBorder="1" applyAlignment="1">
      <alignment horizontal="center"/>
    </xf>
    <xf numFmtId="168" fontId="13" fillId="3" borderId="6" xfId="0" applyNumberFormat="1" applyFont="1" applyFill="1" applyBorder="1"/>
    <xf numFmtId="164" fontId="13" fillId="0" borderId="6" xfId="2" applyFont="1" applyBorder="1" applyAlignment="1">
      <alignment vertical="center"/>
    </xf>
    <xf numFmtId="164" fontId="13" fillId="3" borderId="6" xfId="0" applyNumberFormat="1" applyFont="1" applyFill="1" applyBorder="1"/>
    <xf numFmtId="168" fontId="13" fillId="3" borderId="6" xfId="3" applyNumberFormat="1" applyFont="1" applyFill="1" applyBorder="1"/>
    <xf numFmtId="167" fontId="13" fillId="0" borderId="6" xfId="1" applyNumberFormat="1" applyFont="1" applyBorder="1"/>
    <xf numFmtId="173" fontId="13" fillId="0" borderId="6" xfId="2" applyNumberFormat="1" applyFont="1" applyBorder="1"/>
    <xf numFmtId="0" fontId="16" fillId="9" borderId="0" xfId="0" applyFont="1" applyFill="1"/>
    <xf numFmtId="164" fontId="13" fillId="9" borderId="6" xfId="0" applyNumberFormat="1" applyFont="1" applyFill="1" applyBorder="1"/>
    <xf numFmtId="0" fontId="13" fillId="9" borderId="6" xfId="0" applyFont="1" applyFill="1" applyBorder="1"/>
    <xf numFmtId="168" fontId="13" fillId="9" borderId="6" xfId="3" applyNumberFormat="1" applyFont="1" applyFill="1" applyBorder="1"/>
    <xf numFmtId="0" fontId="2" fillId="2" borderId="20" xfId="0" applyFont="1" applyFill="1" applyBorder="1" applyAlignment="1">
      <alignment vertical="center"/>
    </xf>
    <xf numFmtId="0" fontId="3" fillId="0" borderId="6" xfId="0" applyFont="1" applyBorder="1" applyAlignment="1">
      <alignment horizontal="center" textRotation="90"/>
    </xf>
    <xf numFmtId="168" fontId="16" fillId="3" borderId="6" xfId="0" applyNumberFormat="1" applyFont="1" applyFill="1" applyBorder="1"/>
    <xf numFmtId="9" fontId="16" fillId="3" borderId="6" xfId="3" applyFont="1" applyFill="1" applyBorder="1"/>
    <xf numFmtId="0" fontId="16" fillId="0" borderId="6" xfId="0" applyFont="1" applyBorder="1"/>
    <xf numFmtId="168" fontId="16" fillId="0" borderId="6" xfId="0" applyNumberFormat="1" applyFont="1" applyBorder="1"/>
    <xf numFmtId="164" fontId="16" fillId="0" borderId="6" xfId="0" applyNumberFormat="1" applyFont="1" applyBorder="1"/>
    <xf numFmtId="0" fontId="0" fillId="3" borderId="9" xfId="0" applyFill="1" applyBorder="1" applyAlignment="1">
      <alignment horizontal="left"/>
    </xf>
    <xf numFmtId="0" fontId="13" fillId="4" borderId="0" xfId="0" applyFont="1" applyFill="1"/>
    <xf numFmtId="0" fontId="13" fillId="2" borderId="6" xfId="0" applyFont="1" applyFill="1" applyBorder="1"/>
    <xf numFmtId="0" fontId="13" fillId="4" borderId="18" xfId="0" applyFont="1" applyFill="1" applyBorder="1"/>
    <xf numFmtId="0" fontId="13" fillId="4" borderId="19" xfId="0" applyFont="1" applyFill="1" applyBorder="1"/>
    <xf numFmtId="0" fontId="13" fillId="4" borderId="8" xfId="0" applyFont="1" applyFill="1" applyBorder="1"/>
    <xf numFmtId="0" fontId="13" fillId="4" borderId="9" xfId="0" applyFont="1" applyFill="1" applyBorder="1"/>
    <xf numFmtId="0" fontId="13" fillId="4" borderId="3" xfId="0" applyFont="1" applyFill="1" applyBorder="1"/>
    <xf numFmtId="0" fontId="13" fillId="2" borderId="3" xfId="0" applyFont="1" applyFill="1" applyBorder="1"/>
    <xf numFmtId="0" fontId="3" fillId="4" borderId="0" xfId="0" applyFont="1" applyFill="1" applyAlignment="1">
      <alignment horizontal="center" textRotation="90"/>
    </xf>
    <xf numFmtId="0" fontId="13" fillId="4" borderId="0" xfId="0" applyFont="1" applyFill="1" applyAlignment="1">
      <alignment vertical="center"/>
    </xf>
    <xf numFmtId="0" fontId="16" fillId="4" borderId="0" xfId="0" applyFont="1" applyFill="1"/>
    <xf numFmtId="0" fontId="13" fillId="4" borderId="2" xfId="0" applyFont="1" applyFill="1" applyBorder="1"/>
    <xf numFmtId="0" fontId="13" fillId="4" borderId="1" xfId="0" applyFont="1" applyFill="1" applyBorder="1"/>
    <xf numFmtId="0" fontId="13" fillId="4" borderId="10" xfId="0" applyFont="1" applyFill="1" applyBorder="1"/>
    <xf numFmtId="168" fontId="13" fillId="4" borderId="6" xfId="3" applyNumberFormat="1" applyFont="1" applyFill="1" applyBorder="1"/>
    <xf numFmtId="164" fontId="13" fillId="4" borderId="6" xfId="0" applyNumberFormat="1" applyFont="1" applyFill="1" applyBorder="1"/>
    <xf numFmtId="164" fontId="13" fillId="4" borderId="6" xfId="2" applyFont="1" applyFill="1" applyBorder="1" applyAlignment="1">
      <alignment vertical="center"/>
    </xf>
    <xf numFmtId="167" fontId="13" fillId="4" borderId="6" xfId="1" applyNumberFormat="1" applyFont="1" applyFill="1" applyBorder="1"/>
    <xf numFmtId="173" fontId="13" fillId="4" borderId="6" xfId="2" applyNumberFormat="1" applyFont="1" applyFill="1" applyBorder="1"/>
    <xf numFmtId="0" fontId="13" fillId="0" borderId="3" xfId="0" applyFont="1" applyBorder="1"/>
    <xf numFmtId="0" fontId="18" fillId="4" borderId="0" xfId="0" applyFont="1" applyFill="1"/>
    <xf numFmtId="168" fontId="13" fillId="4" borderId="6" xfId="0" applyNumberFormat="1" applyFont="1" applyFill="1" applyBorder="1"/>
    <xf numFmtId="0" fontId="13" fillId="4" borderId="6" xfId="0" applyFont="1" applyFill="1" applyBorder="1"/>
    <xf numFmtId="0" fontId="8" fillId="4" borderId="11" xfId="0" applyFont="1" applyFill="1" applyBorder="1" applyAlignment="1">
      <alignment horizontal="left" vertical="center" wrapText="1" indent="1"/>
    </xf>
    <xf numFmtId="0" fontId="8" fillId="4" borderId="12" xfId="0" applyFont="1" applyFill="1" applyBorder="1" applyAlignment="1">
      <alignment horizontal="left" vertical="center" wrapText="1" indent="1"/>
    </xf>
    <xf numFmtId="0" fontId="8" fillId="4" borderId="13" xfId="0" applyFont="1" applyFill="1" applyBorder="1" applyAlignment="1">
      <alignment horizontal="left" vertical="center" wrapText="1" indent="1"/>
    </xf>
    <xf numFmtId="0" fontId="8" fillId="4" borderId="22" xfId="0" applyFont="1" applyFill="1" applyBorder="1" applyAlignment="1">
      <alignment horizontal="left" vertical="center" wrapText="1" indent="1"/>
    </xf>
    <xf numFmtId="0" fontId="8" fillId="4" borderId="0" xfId="0" applyFont="1" applyFill="1" applyAlignment="1">
      <alignment horizontal="left" vertical="center" wrapText="1" indent="1"/>
    </xf>
    <xf numFmtId="0" fontId="8" fillId="4" borderId="23" xfId="0" applyFont="1" applyFill="1" applyBorder="1" applyAlignment="1">
      <alignment horizontal="left" vertical="center" wrapText="1" indent="1"/>
    </xf>
    <xf numFmtId="0" fontId="8" fillId="4" borderId="14" xfId="0" applyFont="1" applyFill="1" applyBorder="1" applyAlignment="1">
      <alignment horizontal="left" vertical="center" wrapText="1" indent="1"/>
    </xf>
    <xf numFmtId="0" fontId="8" fillId="4" borderId="15" xfId="0" applyFont="1" applyFill="1" applyBorder="1" applyAlignment="1">
      <alignment horizontal="left" vertical="center" wrapText="1" indent="1"/>
    </xf>
    <xf numFmtId="0" fontId="8" fillId="4" borderId="16" xfId="0" applyFont="1" applyFill="1" applyBorder="1" applyAlignment="1">
      <alignment horizontal="left" vertical="center" wrapText="1" indent="1"/>
    </xf>
    <xf numFmtId="0" fontId="0" fillId="3" borderId="6" xfId="0" applyFill="1" applyBorder="1" applyAlignment="1">
      <alignment horizontal="left"/>
    </xf>
    <xf numFmtId="0" fontId="0" fillId="3" borderId="6" xfId="0" applyFill="1" applyBorder="1" applyAlignment="1">
      <alignment horizontal="center"/>
    </xf>
    <xf numFmtId="0" fontId="2" fillId="2" borderId="6" xfId="0" applyFont="1" applyFill="1" applyBorder="1" applyAlignment="1">
      <alignment horizontal="left"/>
    </xf>
    <xf numFmtId="167" fontId="0" fillId="4" borderId="20" xfId="1" applyNumberFormat="1" applyFont="1" applyFill="1" applyBorder="1" applyAlignment="1">
      <alignment horizontal="left"/>
    </xf>
    <xf numFmtId="167" fontId="0" fillId="4" borderId="17" xfId="1" applyNumberFormat="1" applyFont="1" applyFill="1" applyBorder="1" applyAlignment="1">
      <alignment horizontal="left"/>
    </xf>
    <xf numFmtId="0" fontId="0" fillId="3" borderId="3" xfId="0" applyFill="1" applyBorder="1" applyAlignment="1">
      <alignment horizontal="left"/>
    </xf>
    <xf numFmtId="0" fontId="0" fillId="3" borderId="0" xfId="0" applyFill="1" applyAlignment="1">
      <alignment horizontal="left"/>
    </xf>
    <xf numFmtId="0" fontId="0" fillId="3" borderId="9" xfId="0" applyFill="1" applyBorder="1" applyAlignment="1">
      <alignment horizontal="left"/>
    </xf>
    <xf numFmtId="0" fontId="0" fillId="3" borderId="2" xfId="0" applyFill="1" applyBorder="1" applyAlignment="1">
      <alignment horizontal="left"/>
    </xf>
    <xf numFmtId="0" fontId="0" fillId="3" borderId="1" xfId="0" applyFill="1" applyBorder="1" applyAlignment="1">
      <alignment horizontal="left"/>
    </xf>
    <xf numFmtId="0" fontId="0" fillId="3" borderId="10" xfId="0" applyFill="1" applyBorder="1" applyAlignment="1">
      <alignment horizontal="left"/>
    </xf>
    <xf numFmtId="164" fontId="0" fillId="4" borderId="20" xfId="0" applyNumberFormat="1" applyFill="1" applyBorder="1" applyAlignment="1">
      <alignment horizontal="left"/>
    </xf>
    <xf numFmtId="0" fontId="0" fillId="4" borderId="17" xfId="0" applyFill="1" applyBorder="1" applyAlignment="1">
      <alignment horizontal="left"/>
    </xf>
    <xf numFmtId="0" fontId="2" fillId="2" borderId="7" xfId="0" applyFont="1" applyFill="1" applyBorder="1" applyAlignment="1">
      <alignment horizontal="left"/>
    </xf>
    <xf numFmtId="167" fontId="0" fillId="0" borderId="7" xfId="1" applyNumberFormat="1" applyFont="1" applyBorder="1" applyAlignment="1">
      <alignment horizontal="center"/>
    </xf>
    <xf numFmtId="0" fontId="2" fillId="2" borderId="20" xfId="0" applyFont="1" applyFill="1" applyBorder="1" applyAlignment="1">
      <alignment horizontal="left" vertical="center"/>
    </xf>
    <xf numFmtId="0" fontId="2" fillId="2" borderId="21" xfId="0" applyFont="1" applyFill="1" applyBorder="1" applyAlignment="1">
      <alignment horizontal="left" vertical="center"/>
    </xf>
    <xf numFmtId="0" fontId="2" fillId="2" borderId="17" xfId="0" applyFont="1" applyFill="1" applyBorder="1" applyAlignment="1">
      <alignment horizontal="left" vertical="center"/>
    </xf>
    <xf numFmtId="0" fontId="0" fillId="3" borderId="18" xfId="0" applyFill="1" applyBorder="1" applyAlignment="1">
      <alignment horizontal="left"/>
    </xf>
    <xf numFmtId="0" fontId="0" fillId="3" borderId="19" xfId="0" applyFill="1" applyBorder="1" applyAlignment="1">
      <alignment horizontal="left"/>
    </xf>
    <xf numFmtId="0" fontId="2" fillId="2" borderId="0" xfId="0" applyFont="1" applyFill="1" applyAlignment="1">
      <alignment horizontal="left" vertical="center"/>
    </xf>
    <xf numFmtId="0" fontId="0" fillId="0" borderId="20" xfId="0" applyBorder="1" applyAlignment="1">
      <alignment horizontal="center"/>
    </xf>
    <xf numFmtId="0" fontId="0" fillId="0" borderId="17" xfId="0" applyBorder="1" applyAlignment="1">
      <alignment horizontal="center"/>
    </xf>
    <xf numFmtId="0" fontId="2" fillId="2" borderId="1" xfId="0" applyFont="1" applyFill="1" applyBorder="1" applyAlignment="1">
      <alignment horizontal="left" vertical="center"/>
    </xf>
    <xf numFmtId="0" fontId="3" fillId="4" borderId="20" xfId="0" applyFont="1" applyFill="1" applyBorder="1" applyAlignment="1">
      <alignment horizontal="left"/>
    </xf>
    <xf numFmtId="0" fontId="3" fillId="4" borderId="21" xfId="0" applyFont="1" applyFill="1" applyBorder="1" applyAlignment="1">
      <alignment horizontal="left"/>
    </xf>
    <xf numFmtId="0" fontId="3" fillId="4" borderId="17" xfId="0" applyFont="1" applyFill="1" applyBorder="1" applyAlignment="1">
      <alignment horizontal="left"/>
    </xf>
    <xf numFmtId="166" fontId="3" fillId="4" borderId="20" xfId="0" applyNumberFormat="1" applyFont="1" applyFill="1" applyBorder="1" applyAlignment="1">
      <alignment horizontal="center"/>
    </xf>
    <xf numFmtId="166" fontId="3" fillId="4" borderId="17" xfId="0" applyNumberFormat="1" applyFont="1" applyFill="1" applyBorder="1" applyAlignment="1">
      <alignment horizontal="center"/>
    </xf>
    <xf numFmtId="166" fontId="3" fillId="3" borderId="20" xfId="0" applyNumberFormat="1" applyFont="1" applyFill="1" applyBorder="1" applyAlignment="1">
      <alignment horizontal="center"/>
    </xf>
    <xf numFmtId="166" fontId="3" fillId="3" borderId="17" xfId="0" applyNumberFormat="1" applyFont="1" applyFill="1" applyBorder="1" applyAlignment="1">
      <alignment horizontal="center"/>
    </xf>
    <xf numFmtId="168" fontId="15" fillId="4" borderId="20" xfId="3" applyNumberFormat="1" applyFont="1" applyFill="1" applyBorder="1" applyAlignment="1">
      <alignment horizontal="center"/>
    </xf>
    <xf numFmtId="168" fontId="15" fillId="4" borderId="17" xfId="3" applyNumberFormat="1" applyFont="1" applyFill="1" applyBorder="1" applyAlignment="1">
      <alignment horizontal="center"/>
    </xf>
    <xf numFmtId="0" fontId="9" fillId="10" borderId="11" xfId="0" applyFont="1" applyFill="1" applyBorder="1" applyAlignment="1">
      <alignment horizontal="center" wrapText="1"/>
    </xf>
    <xf numFmtId="0" fontId="9" fillId="10" borderId="12" xfId="0" applyFont="1" applyFill="1" applyBorder="1" applyAlignment="1">
      <alignment horizontal="center" wrapText="1"/>
    </xf>
    <xf numFmtId="0" fontId="9" fillId="10" borderId="13" xfId="0" applyFont="1" applyFill="1" applyBorder="1" applyAlignment="1">
      <alignment horizontal="center" wrapText="1"/>
    </xf>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2" fillId="2" borderId="6" xfId="0" applyFont="1" applyFill="1" applyBorder="1" applyAlignment="1">
      <alignment horizontal="center"/>
    </xf>
    <xf numFmtId="0" fontId="11" fillId="8" borderId="6" xfId="0" applyFont="1" applyFill="1" applyBorder="1" applyAlignment="1">
      <alignment horizontal="center" vertical="center" textRotation="90"/>
    </xf>
    <xf numFmtId="0" fontId="11" fillId="2" borderId="9" xfId="0" quotePrefix="1" applyFont="1" applyFill="1" applyBorder="1" applyAlignment="1">
      <alignment horizontal="center" vertical="center"/>
    </xf>
    <xf numFmtId="0" fontId="11" fillId="2" borderId="18" xfId="0" applyFont="1" applyFill="1" applyBorder="1" applyAlignment="1">
      <alignment horizontal="left"/>
    </xf>
    <xf numFmtId="0" fontId="11" fillId="2" borderId="8" xfId="0" applyFont="1" applyFill="1" applyBorder="1" applyAlignment="1">
      <alignment horizontal="left"/>
    </xf>
    <xf numFmtId="0" fontId="11" fillId="2" borderId="3" xfId="0" applyFont="1" applyFill="1" applyBorder="1" applyAlignment="1">
      <alignment horizontal="left"/>
    </xf>
    <xf numFmtId="0" fontId="11" fillId="2" borderId="0" xfId="0" applyFont="1" applyFill="1" applyAlignment="1">
      <alignment horizontal="left"/>
    </xf>
    <xf numFmtId="0" fontId="11" fillId="2" borderId="9" xfId="0" applyFont="1" applyFill="1" applyBorder="1" applyAlignment="1">
      <alignment horizontal="left"/>
    </xf>
    <xf numFmtId="0" fontId="11" fillId="7" borderId="5" xfId="0" applyFont="1" applyFill="1" applyBorder="1" applyAlignment="1">
      <alignment horizontal="center" vertical="center" textRotation="90"/>
    </xf>
    <xf numFmtId="0" fontId="16" fillId="4" borderId="20" xfId="0" applyFont="1" applyFill="1" applyBorder="1" applyAlignment="1">
      <alignment horizontal="left" vertical="top" wrapText="1"/>
    </xf>
    <xf numFmtId="0" fontId="13" fillId="4" borderId="21" xfId="0" applyFont="1" applyFill="1" applyBorder="1" applyAlignment="1">
      <alignment horizontal="left" vertical="top"/>
    </xf>
    <xf numFmtId="0" fontId="13" fillId="4" borderId="17" xfId="0" applyFont="1" applyFill="1" applyBorder="1" applyAlignment="1">
      <alignment horizontal="left" vertical="top"/>
    </xf>
    <xf numFmtId="0" fontId="9" fillId="4" borderId="11" xfId="0" applyFont="1" applyFill="1" applyBorder="1" applyAlignment="1">
      <alignment horizontal="left" vertical="top" wrapText="1" indent="1"/>
    </xf>
    <xf numFmtId="0" fontId="8" fillId="4" borderId="12" xfId="0" applyFont="1" applyFill="1" applyBorder="1" applyAlignment="1">
      <alignment horizontal="left" vertical="top" wrapText="1" indent="1"/>
    </xf>
    <xf numFmtId="0" fontId="8" fillId="4" borderId="13" xfId="0" applyFont="1" applyFill="1" applyBorder="1" applyAlignment="1">
      <alignment horizontal="left" vertical="top" wrapText="1" indent="1"/>
    </xf>
    <xf numFmtId="0" fontId="8" fillId="4" borderId="22" xfId="0" applyFont="1" applyFill="1" applyBorder="1" applyAlignment="1">
      <alignment horizontal="left" vertical="top" wrapText="1" indent="1"/>
    </xf>
    <xf numFmtId="0" fontId="8" fillId="4" borderId="0" xfId="0" applyFont="1" applyFill="1" applyAlignment="1">
      <alignment horizontal="left" vertical="top" wrapText="1" indent="1"/>
    </xf>
    <xf numFmtId="0" fontId="8" fillId="4" borderId="23" xfId="0" applyFont="1" applyFill="1" applyBorder="1" applyAlignment="1">
      <alignment horizontal="left" vertical="top" wrapText="1" indent="1"/>
    </xf>
    <xf numFmtId="0" fontId="8" fillId="4" borderId="14" xfId="0" applyFont="1" applyFill="1" applyBorder="1" applyAlignment="1">
      <alignment horizontal="left" vertical="top" wrapText="1" indent="1"/>
    </xf>
    <xf numFmtId="0" fontId="8" fillId="4" borderId="15" xfId="0" applyFont="1" applyFill="1" applyBorder="1" applyAlignment="1">
      <alignment horizontal="left" vertical="top" wrapText="1" indent="1"/>
    </xf>
    <xf numFmtId="0" fontId="8" fillId="4" borderId="16" xfId="0" applyFont="1" applyFill="1" applyBorder="1" applyAlignment="1">
      <alignment horizontal="left" vertical="top" wrapText="1" indent="1"/>
    </xf>
    <xf numFmtId="0" fontId="17" fillId="2" borderId="0" xfId="0" applyFont="1" applyFill="1" applyAlignment="1">
      <alignment horizontal="left" vertical="center" wrapText="1"/>
    </xf>
    <xf numFmtId="0" fontId="0" fillId="4" borderId="2" xfId="0" applyFill="1" applyBorder="1" applyAlignment="1">
      <alignment horizontal="left"/>
    </xf>
    <xf numFmtId="0" fontId="0" fillId="4" borderId="1" xfId="0" applyFill="1" applyBorder="1" applyAlignment="1">
      <alignment horizontal="left"/>
    </xf>
    <xf numFmtId="0" fontId="0" fillId="4" borderId="18" xfId="0" applyFill="1" applyBorder="1" applyAlignment="1">
      <alignment horizontal="left"/>
    </xf>
    <xf numFmtId="0" fontId="0" fillId="4" borderId="19" xfId="0" applyFill="1" applyBorder="1" applyAlignment="1">
      <alignment horizontal="left"/>
    </xf>
    <xf numFmtId="0" fontId="11" fillId="2" borderId="2" xfId="0" applyFont="1" applyFill="1" applyBorder="1" applyAlignment="1">
      <alignment horizontal="left"/>
    </xf>
    <xf numFmtId="0" fontId="11" fillId="2" borderId="10" xfId="0" applyFont="1" applyFill="1" applyBorder="1" applyAlignment="1">
      <alignment horizontal="left"/>
    </xf>
    <xf numFmtId="0" fontId="11" fillId="7" borderId="7" xfId="0" applyFont="1" applyFill="1" applyBorder="1" applyAlignment="1">
      <alignment horizontal="center" vertical="center" textRotation="90"/>
    </xf>
    <xf numFmtId="0" fontId="11" fillId="7" borderId="4" xfId="0" applyFont="1" applyFill="1" applyBorder="1" applyAlignment="1">
      <alignment horizontal="center" vertical="center" textRotation="90"/>
    </xf>
    <xf numFmtId="0" fontId="11" fillId="2" borderId="7" xfId="0" quotePrefix="1" applyFont="1" applyFill="1" applyBorder="1" applyAlignment="1">
      <alignment horizontal="center" vertical="center"/>
    </xf>
    <xf numFmtId="0" fontId="11" fillId="2" borderId="5" xfId="0" quotePrefix="1" applyFont="1" applyFill="1" applyBorder="1" applyAlignment="1">
      <alignment horizontal="center" vertical="center"/>
    </xf>
    <xf numFmtId="0" fontId="11" fillId="2" borderId="4" xfId="0" quotePrefix="1" applyFont="1" applyFill="1" applyBorder="1" applyAlignment="1">
      <alignment horizontal="center" vertical="center"/>
    </xf>
  </cellXfs>
  <cellStyles count="4">
    <cellStyle name="Comma" xfId="1" builtinId="3"/>
    <cellStyle name="Currency" xfId="2" builtinId="4"/>
    <cellStyle name="Normal" xfId="0" builtinId="0"/>
    <cellStyle name="Per cent" xfId="3" builtinId="5"/>
  </cellStyles>
  <dxfs count="56">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457200</xdr:colOff>
      <xdr:row>25</xdr:row>
      <xdr:rowOff>123825</xdr:rowOff>
    </xdr:from>
    <xdr:to>
      <xdr:col>9</xdr:col>
      <xdr:colOff>314325</xdr:colOff>
      <xdr:row>36</xdr:row>
      <xdr:rowOff>57150</xdr:rowOff>
    </xdr:to>
    <xdr:sp macro="" textlink="">
      <xdr:nvSpPr>
        <xdr:cNvPr id="2" name="Rectangle 1">
          <a:extLst>
            <a:ext uri="{FF2B5EF4-FFF2-40B4-BE49-F238E27FC236}">
              <a16:creationId xmlns:a16="http://schemas.microsoft.com/office/drawing/2014/main" id="{B46CF7F3-0FBA-41F8-9E1D-A440275E6652}"/>
            </a:ext>
          </a:extLst>
        </xdr:cNvPr>
        <xdr:cNvSpPr/>
      </xdr:nvSpPr>
      <xdr:spPr>
        <a:xfrm>
          <a:off x="5334000" y="4905375"/>
          <a:ext cx="2628900" cy="2028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4400">
              <a:solidFill>
                <a:srgbClr val="FF0000"/>
              </a:solidFill>
            </a:rPr>
            <a:t>EXAMPLE ONLY</a:t>
          </a:r>
        </a:p>
      </xdr:txBody>
    </xdr:sp>
    <xdr:clientData/>
  </xdr:twoCellAnchor>
  <xdr:twoCellAnchor editAs="oneCell">
    <xdr:from>
      <xdr:col>0</xdr:col>
      <xdr:colOff>76201</xdr:colOff>
      <xdr:row>0</xdr:row>
      <xdr:rowOff>76200</xdr:rowOff>
    </xdr:from>
    <xdr:to>
      <xdr:col>2</xdr:col>
      <xdr:colOff>1578242</xdr:colOff>
      <xdr:row>3</xdr:row>
      <xdr:rowOff>47625</xdr:rowOff>
    </xdr:to>
    <xdr:pic>
      <xdr:nvPicPr>
        <xdr:cNvPr id="5" name="Picture 4">
          <a:extLst>
            <a:ext uri="{FF2B5EF4-FFF2-40B4-BE49-F238E27FC236}">
              <a16:creationId xmlns:a16="http://schemas.microsoft.com/office/drawing/2014/main" id="{F0419494-1F4A-549B-0BCC-4BB6924A0FB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76201" y="76200"/>
          <a:ext cx="1911616"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142874</xdr:colOff>
      <xdr:row>36</xdr:row>
      <xdr:rowOff>95249</xdr:rowOff>
    </xdr:from>
    <xdr:to>
      <xdr:col>16</xdr:col>
      <xdr:colOff>209549</xdr:colOff>
      <xdr:row>40</xdr:row>
      <xdr:rowOff>114300</xdr:rowOff>
    </xdr:to>
    <xdr:sp macro="" textlink="">
      <xdr:nvSpPr>
        <xdr:cNvPr id="2" name="Speech Bubble: Rectangle 1">
          <a:extLst>
            <a:ext uri="{FF2B5EF4-FFF2-40B4-BE49-F238E27FC236}">
              <a16:creationId xmlns:a16="http://schemas.microsoft.com/office/drawing/2014/main" id="{F4FF9B58-2614-8C9E-4A1C-98D4C289A9B6}"/>
            </a:ext>
          </a:extLst>
        </xdr:cNvPr>
        <xdr:cNvSpPr/>
      </xdr:nvSpPr>
      <xdr:spPr>
        <a:xfrm>
          <a:off x="7381874" y="6867524"/>
          <a:ext cx="2847975" cy="685801"/>
        </a:xfrm>
        <a:prstGeom prst="wedgeRectCallout">
          <a:avLst>
            <a:gd name="adj1" fmla="val -72338"/>
            <a:gd name="adj2" fmla="val -105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t>If you use a contract manufacturing model or hybrid model, please use</a:t>
          </a:r>
          <a:r>
            <a:rPr lang="en-AU" sz="1100" baseline="0"/>
            <a:t> your batch cost and batch quantities. The fields can be over-written. </a:t>
          </a:r>
          <a:endParaRPr lang="en-AU" sz="1100"/>
        </a:p>
      </xdr:txBody>
    </xdr:sp>
    <xdr:clientData/>
  </xdr:twoCellAnchor>
  <xdr:twoCellAnchor>
    <xdr:from>
      <xdr:col>3</xdr:col>
      <xdr:colOff>552449</xdr:colOff>
      <xdr:row>16</xdr:row>
      <xdr:rowOff>123824</xdr:rowOff>
    </xdr:from>
    <xdr:to>
      <xdr:col>7</xdr:col>
      <xdr:colOff>733424</xdr:colOff>
      <xdr:row>27</xdr:row>
      <xdr:rowOff>57149</xdr:rowOff>
    </xdr:to>
    <xdr:sp macro="" textlink="">
      <xdr:nvSpPr>
        <xdr:cNvPr id="3" name="Rectangle 2">
          <a:extLst>
            <a:ext uri="{FF2B5EF4-FFF2-40B4-BE49-F238E27FC236}">
              <a16:creationId xmlns:a16="http://schemas.microsoft.com/office/drawing/2014/main" id="{63027D7E-FED1-CA13-87BD-B11DBC37E43E}"/>
            </a:ext>
          </a:extLst>
        </xdr:cNvPr>
        <xdr:cNvSpPr/>
      </xdr:nvSpPr>
      <xdr:spPr>
        <a:xfrm>
          <a:off x="1714499" y="3390899"/>
          <a:ext cx="2619375" cy="2028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4400">
              <a:solidFill>
                <a:srgbClr val="FF0000"/>
              </a:solidFill>
            </a:rPr>
            <a:t>EXAMPLE ONLY</a:t>
          </a:r>
        </a:p>
      </xdr:txBody>
    </xdr:sp>
    <xdr:clientData/>
  </xdr:twoCellAnchor>
  <xdr:twoCellAnchor>
    <xdr:from>
      <xdr:col>11</xdr:col>
      <xdr:colOff>76199</xdr:colOff>
      <xdr:row>48</xdr:row>
      <xdr:rowOff>104774</xdr:rowOff>
    </xdr:from>
    <xdr:to>
      <xdr:col>15</xdr:col>
      <xdr:colOff>95249</xdr:colOff>
      <xdr:row>61</xdr:row>
      <xdr:rowOff>152400</xdr:rowOff>
    </xdr:to>
    <xdr:sp macro="" textlink="">
      <xdr:nvSpPr>
        <xdr:cNvPr id="5" name="Speech Bubble: Rectangle 4">
          <a:extLst>
            <a:ext uri="{FF2B5EF4-FFF2-40B4-BE49-F238E27FC236}">
              <a16:creationId xmlns:a16="http://schemas.microsoft.com/office/drawing/2014/main" id="{17A07603-483D-4722-A8C8-8CC0945430F9}"/>
            </a:ext>
          </a:extLst>
        </xdr:cNvPr>
        <xdr:cNvSpPr/>
      </xdr:nvSpPr>
      <xdr:spPr>
        <a:xfrm>
          <a:off x="6657974" y="9267824"/>
          <a:ext cx="2847975" cy="2524126"/>
        </a:xfrm>
        <a:prstGeom prst="wedgeRectCallout">
          <a:avLst>
            <a:gd name="adj1" fmla="val -73676"/>
            <a:gd name="adj2" fmla="val -775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a:t>Please note that there is a distinction between Company overheads and Stream / Customer overheads</a:t>
          </a:r>
          <a:r>
            <a:rPr lang="en-AU" sz="1100" baseline="0"/>
            <a:t> or costs.  </a:t>
          </a:r>
        </a:p>
        <a:p>
          <a:pPr algn="l"/>
          <a:endParaRPr lang="en-AU" sz="1100" baseline="0"/>
        </a:p>
        <a:p>
          <a:pPr algn="l"/>
          <a:r>
            <a:rPr lang="en-AU" sz="1100" baseline="0"/>
            <a:t>E-commerce costs (such as shopify or Meta ads) should be allocated at the income stream level and come off that particular marging. Likewise price romotions or Cartology in Woolworths are allocated post margin to that stream of income. </a:t>
          </a:r>
        </a:p>
        <a:p>
          <a:pPr algn="l"/>
          <a:endParaRPr lang="en-AU" sz="1100" baseline="0"/>
        </a:p>
        <a:p>
          <a:pPr algn="l"/>
          <a:r>
            <a:rPr lang="en-AU" sz="1100" baseline="0"/>
            <a:t>Business marketing / Generic promotion however does fall under this overheads grouping. </a:t>
          </a:r>
          <a:endParaRPr lang="en-AU" sz="1100"/>
        </a:p>
      </xdr:txBody>
    </xdr:sp>
    <xdr:clientData/>
  </xdr:twoCellAnchor>
  <xdr:twoCellAnchor>
    <xdr:from>
      <xdr:col>11</xdr:col>
      <xdr:colOff>76199</xdr:colOff>
      <xdr:row>43</xdr:row>
      <xdr:rowOff>85724</xdr:rowOff>
    </xdr:from>
    <xdr:to>
      <xdr:col>15</xdr:col>
      <xdr:colOff>95249</xdr:colOff>
      <xdr:row>47</xdr:row>
      <xdr:rowOff>9525</xdr:rowOff>
    </xdr:to>
    <xdr:sp macro="" textlink="">
      <xdr:nvSpPr>
        <xdr:cNvPr id="4" name="Speech Bubble: Rectangle 3">
          <a:extLst>
            <a:ext uri="{FF2B5EF4-FFF2-40B4-BE49-F238E27FC236}">
              <a16:creationId xmlns:a16="http://schemas.microsoft.com/office/drawing/2014/main" id="{C582F82C-E389-45EA-971F-0C3069CCEC3D}"/>
            </a:ext>
          </a:extLst>
        </xdr:cNvPr>
        <xdr:cNvSpPr/>
      </xdr:nvSpPr>
      <xdr:spPr>
        <a:xfrm>
          <a:off x="6657974" y="8296274"/>
          <a:ext cx="2847975" cy="685801"/>
        </a:xfrm>
        <a:prstGeom prst="wedgeRectCallout">
          <a:avLst>
            <a:gd name="adj1" fmla="val -72338"/>
            <a:gd name="adj2" fmla="val -105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U" sz="1100" b="0"/>
            <a:t>This is not an exhaustive list, I reccomend</a:t>
          </a:r>
          <a:r>
            <a:rPr lang="en-AU" sz="1100" b="0" baseline="0"/>
            <a:t> you go ever your expendature and anything else under 'Other'</a:t>
          </a:r>
          <a:r>
            <a:rPr lang="en-AU" sz="1100" b="1" baseline="0"/>
            <a:t>. </a:t>
          </a:r>
          <a:endParaRPr lang="en-AU"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466725</xdr:colOff>
      <xdr:row>10</xdr:row>
      <xdr:rowOff>1428750</xdr:rowOff>
    </xdr:from>
    <xdr:to>
      <xdr:col>12</xdr:col>
      <xdr:colOff>428625</xdr:colOff>
      <xdr:row>21</xdr:row>
      <xdr:rowOff>85725</xdr:rowOff>
    </xdr:to>
    <xdr:sp macro="" textlink="">
      <xdr:nvSpPr>
        <xdr:cNvPr id="2" name="Rectangle 1">
          <a:extLst>
            <a:ext uri="{FF2B5EF4-FFF2-40B4-BE49-F238E27FC236}">
              <a16:creationId xmlns:a16="http://schemas.microsoft.com/office/drawing/2014/main" id="{FCFFE372-BCCD-48CB-9ED9-CC6182D89C1E}"/>
            </a:ext>
          </a:extLst>
        </xdr:cNvPr>
        <xdr:cNvSpPr/>
      </xdr:nvSpPr>
      <xdr:spPr>
        <a:xfrm>
          <a:off x="5334000" y="3181350"/>
          <a:ext cx="2619375" cy="2028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4400">
              <a:solidFill>
                <a:srgbClr val="FF0000"/>
              </a:solidFill>
            </a:rPr>
            <a:t>EXAMPLE ONLY</a:t>
          </a:r>
        </a:p>
      </xdr:txBody>
    </xdr:sp>
    <xdr:clientData/>
  </xdr:twoCellAnchor>
  <xdr:twoCellAnchor editAs="oneCell">
    <xdr:from>
      <xdr:col>3</xdr:col>
      <xdr:colOff>200025</xdr:colOff>
      <xdr:row>0</xdr:row>
      <xdr:rowOff>95250</xdr:rowOff>
    </xdr:from>
    <xdr:to>
      <xdr:col>5</xdr:col>
      <xdr:colOff>701941</xdr:colOff>
      <xdr:row>3</xdr:row>
      <xdr:rowOff>104775</xdr:rowOff>
    </xdr:to>
    <xdr:pic>
      <xdr:nvPicPr>
        <xdr:cNvPr id="3" name="Picture 2">
          <a:extLst>
            <a:ext uri="{FF2B5EF4-FFF2-40B4-BE49-F238E27FC236}">
              <a16:creationId xmlns:a16="http://schemas.microsoft.com/office/drawing/2014/main" id="{FB81D466-509C-4B6E-99CA-E9CBB8102AF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2543175" y="95250"/>
          <a:ext cx="1911616"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219075</xdr:colOff>
      <xdr:row>4</xdr:row>
      <xdr:rowOff>171450</xdr:rowOff>
    </xdr:from>
    <xdr:to>
      <xdr:col>2</xdr:col>
      <xdr:colOff>1854466</xdr:colOff>
      <xdr:row>7</xdr:row>
      <xdr:rowOff>142875</xdr:rowOff>
    </xdr:to>
    <xdr:pic>
      <xdr:nvPicPr>
        <xdr:cNvPr id="4" name="Picture 3">
          <a:extLst>
            <a:ext uri="{FF2B5EF4-FFF2-40B4-BE49-F238E27FC236}">
              <a16:creationId xmlns:a16="http://schemas.microsoft.com/office/drawing/2014/main" id="{759BCCB3-9935-4372-968D-F48688E4FBB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352425" y="1009650"/>
          <a:ext cx="1911616"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717175</xdr:colOff>
      <xdr:row>5</xdr:row>
      <xdr:rowOff>56030</xdr:rowOff>
    </xdr:from>
    <xdr:to>
      <xdr:col>17</xdr:col>
      <xdr:colOff>56029</xdr:colOff>
      <xdr:row>7</xdr:row>
      <xdr:rowOff>130279</xdr:rowOff>
    </xdr:to>
    <xdr:pic>
      <xdr:nvPicPr>
        <xdr:cNvPr id="2" name="Picture 1">
          <a:extLst>
            <a:ext uri="{FF2B5EF4-FFF2-40B4-BE49-F238E27FC236}">
              <a16:creationId xmlns:a16="http://schemas.microsoft.com/office/drawing/2014/main" id="{951D2187-3C92-4601-86CB-D763D516540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8875057" y="1053354"/>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11205</xdr:colOff>
      <xdr:row>38</xdr:row>
      <xdr:rowOff>67235</xdr:rowOff>
    </xdr:from>
    <xdr:to>
      <xdr:col>17</xdr:col>
      <xdr:colOff>78442</xdr:colOff>
      <xdr:row>40</xdr:row>
      <xdr:rowOff>141483</xdr:rowOff>
    </xdr:to>
    <xdr:pic>
      <xdr:nvPicPr>
        <xdr:cNvPr id="3" name="Picture 2">
          <a:extLst>
            <a:ext uri="{FF2B5EF4-FFF2-40B4-BE49-F238E27FC236}">
              <a16:creationId xmlns:a16="http://schemas.microsoft.com/office/drawing/2014/main" id="{FB17CEBF-BC07-4150-9E3C-5B29413DD7E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8897470" y="8124264"/>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11205</xdr:colOff>
      <xdr:row>71</xdr:row>
      <xdr:rowOff>56029</xdr:rowOff>
    </xdr:from>
    <xdr:to>
      <xdr:col>17</xdr:col>
      <xdr:colOff>78442</xdr:colOff>
      <xdr:row>73</xdr:row>
      <xdr:rowOff>130278</xdr:rowOff>
    </xdr:to>
    <xdr:pic>
      <xdr:nvPicPr>
        <xdr:cNvPr id="4" name="Picture 3">
          <a:extLst>
            <a:ext uri="{FF2B5EF4-FFF2-40B4-BE49-F238E27FC236}">
              <a16:creationId xmlns:a16="http://schemas.microsoft.com/office/drawing/2014/main" id="{029D4DC1-3F0A-4576-82FC-ECEDA405C58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8897470" y="15195176"/>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0</xdr:colOff>
      <xdr:row>71</xdr:row>
      <xdr:rowOff>56029</xdr:rowOff>
    </xdr:from>
    <xdr:to>
      <xdr:col>36</xdr:col>
      <xdr:colOff>67236</xdr:colOff>
      <xdr:row>73</xdr:row>
      <xdr:rowOff>130278</xdr:rowOff>
    </xdr:to>
    <xdr:pic>
      <xdr:nvPicPr>
        <xdr:cNvPr id="5" name="Picture 4">
          <a:extLst>
            <a:ext uri="{FF2B5EF4-FFF2-40B4-BE49-F238E27FC236}">
              <a16:creationId xmlns:a16="http://schemas.microsoft.com/office/drawing/2014/main" id="{AF909C39-1ACB-4A1E-822E-F5E86E99A8E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19991294" y="15195176"/>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705970</xdr:colOff>
      <xdr:row>38</xdr:row>
      <xdr:rowOff>67236</xdr:rowOff>
    </xdr:from>
    <xdr:to>
      <xdr:col>36</xdr:col>
      <xdr:colOff>44824</xdr:colOff>
      <xdr:row>40</xdr:row>
      <xdr:rowOff>141484</xdr:rowOff>
    </xdr:to>
    <xdr:pic>
      <xdr:nvPicPr>
        <xdr:cNvPr id="8" name="Picture 7">
          <a:extLst>
            <a:ext uri="{FF2B5EF4-FFF2-40B4-BE49-F238E27FC236}">
              <a16:creationId xmlns:a16="http://schemas.microsoft.com/office/drawing/2014/main" id="{5680D122-5823-4E19-A4A1-01EC8924052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19968882" y="8124265"/>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717176</xdr:colOff>
      <xdr:row>5</xdr:row>
      <xdr:rowOff>78441</xdr:rowOff>
    </xdr:from>
    <xdr:to>
      <xdr:col>36</xdr:col>
      <xdr:colOff>56030</xdr:colOff>
      <xdr:row>7</xdr:row>
      <xdr:rowOff>152690</xdr:rowOff>
    </xdr:to>
    <xdr:pic>
      <xdr:nvPicPr>
        <xdr:cNvPr id="9" name="Picture 8">
          <a:extLst>
            <a:ext uri="{FF2B5EF4-FFF2-40B4-BE49-F238E27FC236}">
              <a16:creationId xmlns:a16="http://schemas.microsoft.com/office/drawing/2014/main" id="{B1B32379-EC95-414C-8634-1526F6F92D6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714" b="35885"/>
        <a:stretch>
          <a:fillRect/>
        </a:stretch>
      </xdr:blipFill>
      <xdr:spPr bwMode="auto">
        <a:xfrm>
          <a:off x="19980088" y="1075765"/>
          <a:ext cx="1524001" cy="432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66AA-9C6A-4C4D-A83D-D6B9F1806005}">
  <sheetPr codeName="Sheet1">
    <tabColor theme="1" tint="0.249977111117893"/>
  </sheetPr>
  <dimension ref="A1:N36"/>
  <sheetViews>
    <sheetView tabSelected="1" zoomScaleNormal="100" workbookViewId="0">
      <selection activeCell="C18" sqref="C18"/>
    </sheetView>
  </sheetViews>
  <sheetFormatPr defaultRowHeight="15" x14ac:dyDescent="0.25"/>
  <cols>
    <col min="1" max="1" width="2" customWidth="1"/>
    <col min="2" max="2" width="4.140625" customWidth="1"/>
    <col min="3" max="3" width="31" customWidth="1"/>
    <col min="4" max="4" width="12.42578125" customWidth="1"/>
    <col min="5" max="5" width="8.42578125" customWidth="1"/>
    <col min="6" max="8" width="15.140625" customWidth="1"/>
    <col min="9" max="9" width="11.28515625" customWidth="1"/>
    <col min="10" max="10" width="8.5703125" style="1" customWidth="1"/>
    <col min="11" max="11" width="7" customWidth="1"/>
    <col min="12" max="12" width="9.140625" customWidth="1"/>
  </cols>
  <sheetData>
    <row r="1" spans="1:14" x14ac:dyDescent="0.25">
      <c r="A1" s="69"/>
      <c r="B1" s="69"/>
      <c r="C1" s="69"/>
      <c r="D1" s="69"/>
      <c r="E1" s="69"/>
      <c r="F1" s="69"/>
      <c r="G1" s="69"/>
      <c r="H1" s="69"/>
      <c r="I1" s="69"/>
      <c r="J1" s="33"/>
      <c r="K1" s="69"/>
      <c r="L1" s="69"/>
      <c r="M1" s="69"/>
      <c r="N1" s="69"/>
    </row>
    <row r="2" spans="1:14" x14ac:dyDescent="0.25">
      <c r="A2" s="69"/>
      <c r="B2" s="69"/>
      <c r="D2" s="69"/>
      <c r="E2" s="69"/>
      <c r="F2" s="69"/>
      <c r="G2" s="69"/>
      <c r="H2" s="69"/>
      <c r="I2" s="69"/>
      <c r="J2" s="33"/>
      <c r="K2" s="69"/>
      <c r="L2" s="69"/>
      <c r="M2" s="69"/>
      <c r="N2" s="69"/>
    </row>
    <row r="3" spans="1:14" x14ac:dyDescent="0.25">
      <c r="A3" s="69"/>
      <c r="B3" s="69"/>
      <c r="C3" s="69"/>
      <c r="D3" s="69"/>
      <c r="E3" s="69"/>
      <c r="F3" s="69"/>
      <c r="G3" s="69"/>
      <c r="H3" s="69"/>
      <c r="I3" s="69"/>
      <c r="J3" s="33"/>
      <c r="K3" s="69"/>
      <c r="L3" s="69"/>
      <c r="M3" s="69"/>
      <c r="N3" s="69"/>
    </row>
    <row r="4" spans="1:14" ht="15.75" thickBot="1" x14ac:dyDescent="0.3">
      <c r="A4" s="69"/>
      <c r="B4" s="69"/>
      <c r="C4" s="69"/>
      <c r="D4" s="69"/>
      <c r="E4" s="69"/>
      <c r="F4" s="69"/>
      <c r="G4" s="69"/>
      <c r="H4" s="69"/>
      <c r="I4" s="69"/>
      <c r="J4" s="33"/>
      <c r="K4" s="69"/>
      <c r="L4" s="69"/>
      <c r="M4" s="69"/>
      <c r="N4" s="69"/>
    </row>
    <row r="5" spans="1:14" x14ac:dyDescent="0.25">
      <c r="A5" s="69"/>
      <c r="B5" s="69"/>
      <c r="C5" s="17" t="s">
        <v>3</v>
      </c>
      <c r="D5" s="18"/>
      <c r="E5" s="69"/>
      <c r="F5" s="192" t="s">
        <v>146</v>
      </c>
      <c r="G5" s="193"/>
      <c r="H5" s="193"/>
      <c r="I5" s="193"/>
      <c r="J5" s="193"/>
      <c r="K5" s="193"/>
      <c r="L5" s="194"/>
      <c r="M5" s="69"/>
      <c r="N5" s="69"/>
    </row>
    <row r="6" spans="1:14" x14ac:dyDescent="0.25">
      <c r="A6" s="69"/>
      <c r="B6" s="69"/>
      <c r="C6" s="201" t="s">
        <v>35</v>
      </c>
      <c r="D6" s="201"/>
      <c r="E6" s="69"/>
      <c r="F6" s="195"/>
      <c r="G6" s="196"/>
      <c r="H6" s="196"/>
      <c r="I6" s="196"/>
      <c r="J6" s="196"/>
      <c r="K6" s="196"/>
      <c r="L6" s="197"/>
      <c r="M6" s="69"/>
      <c r="N6" s="69"/>
    </row>
    <row r="7" spans="1:14" x14ac:dyDescent="0.25">
      <c r="A7" s="69"/>
      <c r="B7" s="69"/>
      <c r="C7" s="69"/>
      <c r="D7" s="69"/>
      <c r="E7" s="69"/>
      <c r="F7" s="195"/>
      <c r="G7" s="196"/>
      <c r="H7" s="196"/>
      <c r="I7" s="196"/>
      <c r="J7" s="196"/>
      <c r="K7" s="196"/>
      <c r="L7" s="197"/>
      <c r="M7" s="69"/>
      <c r="N7" s="69"/>
    </row>
    <row r="8" spans="1:14" x14ac:dyDescent="0.25">
      <c r="A8" s="69"/>
      <c r="B8" s="69"/>
      <c r="C8" s="17" t="s">
        <v>98</v>
      </c>
      <c r="D8" s="18"/>
      <c r="E8" s="69"/>
      <c r="F8" s="195"/>
      <c r="G8" s="196"/>
      <c r="H8" s="196"/>
      <c r="I8" s="196"/>
      <c r="J8" s="196"/>
      <c r="K8" s="196"/>
      <c r="L8" s="197"/>
      <c r="M8" s="69"/>
      <c r="N8" s="69"/>
    </row>
    <row r="9" spans="1:14" x14ac:dyDescent="0.25">
      <c r="A9" s="69"/>
      <c r="B9" s="69"/>
      <c r="C9" s="202">
        <v>2</v>
      </c>
      <c r="D9" s="202"/>
      <c r="E9" s="69"/>
      <c r="F9" s="195"/>
      <c r="G9" s="196"/>
      <c r="H9" s="196"/>
      <c r="I9" s="196"/>
      <c r="J9" s="196"/>
      <c r="K9" s="196"/>
      <c r="L9" s="197"/>
      <c r="M9" s="69"/>
      <c r="N9" s="69"/>
    </row>
    <row r="10" spans="1:14" x14ac:dyDescent="0.25">
      <c r="A10" s="69"/>
      <c r="B10" s="69"/>
      <c r="C10" s="69"/>
      <c r="D10" s="69"/>
      <c r="E10" s="69"/>
      <c r="F10" s="195"/>
      <c r="G10" s="196"/>
      <c r="H10" s="196"/>
      <c r="I10" s="196"/>
      <c r="J10" s="196"/>
      <c r="K10" s="196"/>
      <c r="L10" s="197"/>
      <c r="M10" s="69"/>
      <c r="N10" s="69"/>
    </row>
    <row r="11" spans="1:14" x14ac:dyDescent="0.25">
      <c r="A11" s="69"/>
      <c r="B11" s="69"/>
      <c r="C11" s="17" t="s">
        <v>5</v>
      </c>
      <c r="D11" s="17" t="s">
        <v>7</v>
      </c>
      <c r="E11" s="69"/>
      <c r="F11" s="195"/>
      <c r="G11" s="196"/>
      <c r="H11" s="196"/>
      <c r="I11" s="196"/>
      <c r="J11" s="196"/>
      <c r="K11" s="196"/>
      <c r="L11" s="197"/>
      <c r="M11" s="69"/>
      <c r="N11" s="69"/>
    </row>
    <row r="12" spans="1:14" ht="15" customHeight="1" x14ac:dyDescent="0.25">
      <c r="A12" s="69"/>
      <c r="B12" s="69"/>
      <c r="C12" s="14" t="s">
        <v>6</v>
      </c>
      <c r="D12" s="14" t="s">
        <v>8</v>
      </c>
      <c r="E12" s="69"/>
      <c r="F12" s="195"/>
      <c r="G12" s="196"/>
      <c r="H12" s="196"/>
      <c r="I12" s="196"/>
      <c r="J12" s="196"/>
      <c r="K12" s="196"/>
      <c r="L12" s="197"/>
      <c r="M12" s="69"/>
      <c r="N12" s="69"/>
    </row>
    <row r="13" spans="1:14" x14ac:dyDescent="0.25">
      <c r="A13" s="69"/>
      <c r="B13" s="69"/>
      <c r="C13" s="69"/>
      <c r="D13" s="69"/>
      <c r="E13" s="69"/>
      <c r="F13" s="195"/>
      <c r="G13" s="196"/>
      <c r="H13" s="196"/>
      <c r="I13" s="196"/>
      <c r="J13" s="196"/>
      <c r="K13" s="196"/>
      <c r="L13" s="197"/>
      <c r="M13" s="69"/>
      <c r="N13" s="69"/>
    </row>
    <row r="14" spans="1:14" x14ac:dyDescent="0.25">
      <c r="A14" s="69"/>
      <c r="B14" s="69"/>
      <c r="C14" s="17" t="s">
        <v>9</v>
      </c>
      <c r="D14" s="18"/>
      <c r="E14" s="69"/>
      <c r="F14" s="195"/>
      <c r="G14" s="196"/>
      <c r="H14" s="196"/>
      <c r="I14" s="196"/>
      <c r="J14" s="196"/>
      <c r="K14" s="196"/>
      <c r="L14" s="197"/>
      <c r="M14" s="69"/>
      <c r="N14" s="69"/>
    </row>
    <row r="15" spans="1:14" ht="15.75" thickBot="1" x14ac:dyDescent="0.3">
      <c r="A15" s="69"/>
      <c r="B15" s="69"/>
      <c r="C15" s="19">
        <v>18</v>
      </c>
      <c r="D15" s="14" t="s">
        <v>10</v>
      </c>
      <c r="E15" s="69"/>
      <c r="F15" s="198"/>
      <c r="G15" s="199"/>
      <c r="H15" s="199"/>
      <c r="I15" s="199"/>
      <c r="J15" s="199"/>
      <c r="K15" s="199"/>
      <c r="L15" s="200"/>
      <c r="M15" s="69"/>
      <c r="N15" s="69"/>
    </row>
    <row r="16" spans="1:14" x14ac:dyDescent="0.25">
      <c r="A16" s="69"/>
      <c r="B16" s="69"/>
      <c r="C16" s="69"/>
      <c r="D16" s="69"/>
      <c r="E16" s="69"/>
      <c r="F16" s="69"/>
      <c r="G16" s="69"/>
      <c r="H16" s="69"/>
      <c r="I16" s="69"/>
      <c r="J16" s="33"/>
      <c r="K16" s="69"/>
      <c r="L16" s="69"/>
      <c r="M16" s="69"/>
      <c r="N16" s="69"/>
    </row>
    <row r="17" spans="1:14" x14ac:dyDescent="0.25">
      <c r="A17" s="69"/>
      <c r="B17" s="69"/>
      <c r="C17" s="22"/>
      <c r="D17" s="22"/>
      <c r="E17" s="20" t="s">
        <v>13</v>
      </c>
      <c r="F17" s="20" t="s">
        <v>12</v>
      </c>
      <c r="G17" s="20" t="s">
        <v>15</v>
      </c>
      <c r="H17" s="20" t="s">
        <v>15</v>
      </c>
      <c r="I17" s="20" t="s">
        <v>15</v>
      </c>
      <c r="J17" s="22"/>
      <c r="K17" s="25"/>
      <c r="L17" s="20" t="s">
        <v>33</v>
      </c>
      <c r="M17" s="20" t="s">
        <v>53</v>
      </c>
      <c r="N17" s="69"/>
    </row>
    <row r="18" spans="1:14" x14ac:dyDescent="0.25">
      <c r="A18" s="69"/>
      <c r="B18" s="69"/>
      <c r="C18" s="21" t="s">
        <v>2</v>
      </c>
      <c r="D18" s="21" t="s">
        <v>4</v>
      </c>
      <c r="E18" s="21" t="s">
        <v>96</v>
      </c>
      <c r="F18" s="21" t="s">
        <v>13</v>
      </c>
      <c r="G18" s="21" t="s">
        <v>14</v>
      </c>
      <c r="H18" s="21" t="s">
        <v>36</v>
      </c>
      <c r="I18" s="21" t="s">
        <v>30</v>
      </c>
      <c r="J18" s="21" t="s">
        <v>27</v>
      </c>
      <c r="K18" s="31" t="s">
        <v>38</v>
      </c>
      <c r="L18" s="21" t="s">
        <v>34</v>
      </c>
      <c r="M18" s="21" t="s">
        <v>83</v>
      </c>
      <c r="N18" s="69"/>
    </row>
    <row r="19" spans="1:14" x14ac:dyDescent="0.25">
      <c r="A19" s="69"/>
      <c r="B19" s="23" t="s">
        <v>16</v>
      </c>
      <c r="C19" s="7" t="s">
        <v>0</v>
      </c>
      <c r="D19" s="9">
        <v>0.34</v>
      </c>
      <c r="E19" s="104">
        <v>6</v>
      </c>
      <c r="F19" s="10">
        <v>40000</v>
      </c>
      <c r="G19" s="10">
        <v>4500</v>
      </c>
      <c r="H19" s="10">
        <v>25000</v>
      </c>
      <c r="I19" s="10">
        <f>F19-G19-H19</f>
        <v>10500</v>
      </c>
      <c r="J19" s="26">
        <v>11.95</v>
      </c>
      <c r="K19" s="24" t="s">
        <v>39</v>
      </c>
      <c r="L19" s="28">
        <f t="shared" ref="L19:L24" si="0">IFERROR((J19/D19),"")</f>
        <v>35.147058823529406</v>
      </c>
      <c r="M19" s="62">
        <f t="shared" ref="M19:M24" si="1">F19*D19</f>
        <v>13600.000000000002</v>
      </c>
      <c r="N19" s="69"/>
    </row>
    <row r="20" spans="1:14" x14ac:dyDescent="0.25">
      <c r="A20" s="69"/>
      <c r="B20" s="23" t="s">
        <v>17</v>
      </c>
      <c r="C20" s="7" t="s">
        <v>1</v>
      </c>
      <c r="D20" s="9">
        <v>0.4</v>
      </c>
      <c r="E20" s="104">
        <v>6</v>
      </c>
      <c r="F20" s="10">
        <v>6500</v>
      </c>
      <c r="G20" s="10">
        <v>0</v>
      </c>
      <c r="H20" s="10">
        <v>2250</v>
      </c>
      <c r="I20" s="10">
        <f>F20-G20-H20</f>
        <v>4250</v>
      </c>
      <c r="J20" s="26">
        <v>9.9499999999999993</v>
      </c>
      <c r="K20" s="15" t="s">
        <v>40</v>
      </c>
      <c r="L20" s="29">
        <f t="shared" si="0"/>
        <v>24.874999999999996</v>
      </c>
      <c r="M20" s="63">
        <f t="shared" si="1"/>
        <v>2600</v>
      </c>
      <c r="N20" s="69"/>
    </row>
    <row r="21" spans="1:14" x14ac:dyDescent="0.25">
      <c r="A21" s="69"/>
      <c r="B21" s="23" t="s">
        <v>18</v>
      </c>
      <c r="C21" s="7"/>
      <c r="D21" s="11"/>
      <c r="E21" s="11"/>
      <c r="F21" s="11"/>
      <c r="G21" s="11"/>
      <c r="H21" s="11"/>
      <c r="I21" s="11"/>
      <c r="J21" s="26"/>
      <c r="K21" s="15"/>
      <c r="L21" s="29" t="str">
        <f t="shared" si="0"/>
        <v/>
      </c>
      <c r="M21" s="63">
        <f t="shared" si="1"/>
        <v>0</v>
      </c>
      <c r="N21" s="69"/>
    </row>
    <row r="22" spans="1:14" x14ac:dyDescent="0.25">
      <c r="A22" s="69"/>
      <c r="B22" s="23" t="s">
        <v>19</v>
      </c>
      <c r="C22" s="7"/>
      <c r="D22" s="11"/>
      <c r="E22" s="11"/>
      <c r="F22" s="11"/>
      <c r="G22" s="11"/>
      <c r="H22" s="11"/>
      <c r="I22" s="11"/>
      <c r="J22" s="26"/>
      <c r="K22" s="15"/>
      <c r="L22" s="29" t="str">
        <f t="shared" si="0"/>
        <v/>
      </c>
      <c r="M22" s="63">
        <f t="shared" si="1"/>
        <v>0</v>
      </c>
      <c r="N22" s="69"/>
    </row>
    <row r="23" spans="1:14" x14ac:dyDescent="0.25">
      <c r="A23" s="69"/>
      <c r="B23" s="23" t="s">
        <v>20</v>
      </c>
      <c r="C23" s="7"/>
      <c r="D23" s="11"/>
      <c r="E23" s="11"/>
      <c r="F23" s="11"/>
      <c r="G23" s="11"/>
      <c r="H23" s="11"/>
      <c r="I23" s="11"/>
      <c r="J23" s="26"/>
      <c r="K23" s="15"/>
      <c r="L23" s="29" t="str">
        <f t="shared" si="0"/>
        <v/>
      </c>
      <c r="M23" s="63">
        <f t="shared" si="1"/>
        <v>0</v>
      </c>
      <c r="N23" s="69"/>
    </row>
    <row r="24" spans="1:14" x14ac:dyDescent="0.25">
      <c r="A24" s="69"/>
      <c r="B24" s="23" t="s">
        <v>21</v>
      </c>
      <c r="C24" s="8"/>
      <c r="D24" s="12"/>
      <c r="E24" s="12"/>
      <c r="F24" s="12"/>
      <c r="G24" s="12"/>
      <c r="H24" s="12"/>
      <c r="I24" s="12"/>
      <c r="J24" s="27"/>
      <c r="K24" s="16"/>
      <c r="L24" s="30" t="str">
        <f t="shared" si="0"/>
        <v/>
      </c>
      <c r="M24" s="64">
        <f t="shared" si="1"/>
        <v>0</v>
      </c>
      <c r="N24" s="69"/>
    </row>
    <row r="25" spans="1:14" x14ac:dyDescent="0.25">
      <c r="A25" s="69"/>
      <c r="B25" s="92"/>
      <c r="C25" s="2" t="s">
        <v>22</v>
      </c>
      <c r="D25" s="13"/>
      <c r="E25" s="13"/>
      <c r="F25" s="68">
        <f>SUM(F19:F24)</f>
        <v>46500</v>
      </c>
      <c r="G25" s="68">
        <f>SUM(G19:G24)</f>
        <v>4500</v>
      </c>
      <c r="H25" s="68">
        <f>SUM(H19:H24)</f>
        <v>27250</v>
      </c>
      <c r="I25" s="68">
        <f>SUM(I19:I24)</f>
        <v>14750</v>
      </c>
      <c r="J25" s="69"/>
      <c r="K25" s="33"/>
      <c r="L25" s="69"/>
      <c r="M25" s="68">
        <f>SUM(M19:M24)</f>
        <v>16200.000000000002</v>
      </c>
      <c r="N25" s="69"/>
    </row>
    <row r="26" spans="1:14" x14ac:dyDescent="0.25">
      <c r="A26" s="69"/>
      <c r="B26" s="92"/>
      <c r="C26" s="2" t="s">
        <v>32</v>
      </c>
      <c r="D26" s="13"/>
      <c r="E26" s="13"/>
      <c r="F26" s="70">
        <f>F25/$F$25</f>
        <v>1</v>
      </c>
      <c r="G26" s="70">
        <f>G25/$F$25</f>
        <v>9.6774193548387094E-2</v>
      </c>
      <c r="H26" s="70">
        <f>H25/$F$25</f>
        <v>0.58602150537634412</v>
      </c>
      <c r="I26" s="70">
        <f>I25/$F$25</f>
        <v>0.31720430107526881</v>
      </c>
      <c r="J26" s="69"/>
      <c r="K26" s="33"/>
      <c r="L26" s="69"/>
      <c r="M26" s="69"/>
      <c r="N26" s="69"/>
    </row>
    <row r="27" spans="1:14" x14ac:dyDescent="0.25">
      <c r="A27" s="69"/>
      <c r="B27" s="69"/>
      <c r="C27" s="69"/>
      <c r="D27" s="69"/>
      <c r="E27" s="69"/>
      <c r="F27" s="69"/>
      <c r="G27" s="69"/>
      <c r="H27" s="69"/>
      <c r="I27" s="69"/>
      <c r="J27" s="33"/>
      <c r="K27" s="69"/>
      <c r="L27" s="69"/>
      <c r="M27" s="69"/>
      <c r="N27" s="69"/>
    </row>
    <row r="28" spans="1:14" x14ac:dyDescent="0.25">
      <c r="A28" s="69"/>
      <c r="B28" s="69"/>
      <c r="C28" s="99" t="s">
        <v>24</v>
      </c>
      <c r="D28" s="100"/>
      <c r="E28" s="103"/>
      <c r="F28" s="69"/>
      <c r="G28" s="69"/>
      <c r="H28" s="69"/>
      <c r="I28" s="69"/>
      <c r="J28" s="33"/>
      <c r="K28" s="69"/>
      <c r="L28" s="69"/>
      <c r="M28" s="69"/>
      <c r="N28" s="69"/>
    </row>
    <row r="29" spans="1:14" x14ac:dyDescent="0.25">
      <c r="A29" s="69"/>
      <c r="B29" s="69"/>
      <c r="C29" s="95" t="s">
        <v>23</v>
      </c>
      <c r="D29" s="14">
        <v>45</v>
      </c>
      <c r="E29" s="101">
        <f>IFERROR((G25/52)/D29,"")</f>
        <v>1.9230769230769229</v>
      </c>
      <c r="F29" s="93" t="s">
        <v>26</v>
      </c>
      <c r="G29" s="94"/>
      <c r="H29" s="69"/>
      <c r="I29" s="69"/>
      <c r="J29" s="33"/>
      <c r="K29" s="69"/>
      <c r="L29" s="69"/>
      <c r="M29" s="69"/>
      <c r="N29" s="69"/>
    </row>
    <row r="30" spans="1:14" x14ac:dyDescent="0.25">
      <c r="A30" s="69"/>
      <c r="B30" s="69"/>
      <c r="C30" s="96" t="s">
        <v>37</v>
      </c>
      <c r="D30" s="14">
        <v>360</v>
      </c>
      <c r="E30" s="101">
        <f>IFERROR((H25/52)/D30,"")</f>
        <v>1.4556623931623931</v>
      </c>
      <c r="F30" s="93" t="s">
        <v>26</v>
      </c>
      <c r="G30" s="94"/>
      <c r="H30" s="69"/>
      <c r="I30" s="69"/>
      <c r="J30" s="33"/>
      <c r="K30" s="69"/>
      <c r="L30" s="69"/>
      <c r="M30" s="69"/>
      <c r="N30" s="69"/>
    </row>
    <row r="31" spans="1:14" x14ac:dyDescent="0.25">
      <c r="A31" s="69"/>
      <c r="B31" s="69"/>
      <c r="C31" s="97" t="s">
        <v>25</v>
      </c>
      <c r="D31" s="98" t="s">
        <v>29</v>
      </c>
      <c r="E31" s="102">
        <f>I25/52</f>
        <v>283.65384615384613</v>
      </c>
      <c r="F31" s="93" t="s">
        <v>31</v>
      </c>
      <c r="G31" s="94"/>
      <c r="H31" s="69"/>
      <c r="I31" s="69"/>
      <c r="J31" s="33"/>
      <c r="K31" s="69"/>
      <c r="L31" s="69"/>
      <c r="M31" s="69"/>
      <c r="N31" s="69"/>
    </row>
    <row r="32" spans="1:14" x14ac:dyDescent="0.25">
      <c r="A32" s="69"/>
      <c r="B32" s="69"/>
      <c r="C32" s="69"/>
      <c r="D32" s="69"/>
      <c r="E32" s="69"/>
      <c r="F32" s="69"/>
      <c r="G32" s="69"/>
      <c r="H32" s="69"/>
      <c r="I32" s="69"/>
      <c r="J32" s="33"/>
      <c r="K32" s="69"/>
      <c r="L32" s="69"/>
      <c r="M32" s="69"/>
      <c r="N32" s="69"/>
    </row>
    <row r="33" spans="1:14" x14ac:dyDescent="0.25">
      <c r="A33" s="69"/>
      <c r="B33" s="69"/>
      <c r="C33" s="69"/>
      <c r="D33" s="69"/>
      <c r="E33" s="69"/>
      <c r="F33" s="69"/>
      <c r="G33" s="69"/>
      <c r="H33" s="69"/>
      <c r="I33" s="69"/>
      <c r="J33" s="33"/>
      <c r="K33" s="69"/>
      <c r="L33" s="69"/>
      <c r="M33" s="69"/>
      <c r="N33" s="69"/>
    </row>
    <row r="34" spans="1:14" x14ac:dyDescent="0.25">
      <c r="A34" s="69"/>
      <c r="B34" s="69"/>
      <c r="C34" s="69"/>
      <c r="D34" s="69"/>
      <c r="E34" s="69"/>
      <c r="F34" s="69"/>
      <c r="G34" s="69"/>
      <c r="H34" s="69"/>
      <c r="I34" s="69"/>
      <c r="J34" s="33"/>
      <c r="K34" s="69"/>
      <c r="L34" s="69"/>
      <c r="M34" s="69"/>
      <c r="N34" s="69"/>
    </row>
    <row r="35" spans="1:14" x14ac:dyDescent="0.25">
      <c r="A35" s="69"/>
      <c r="B35" s="69"/>
      <c r="C35" s="69"/>
      <c r="D35" s="69"/>
      <c r="E35" s="69"/>
      <c r="F35" s="69"/>
      <c r="G35" s="69"/>
      <c r="H35" s="69"/>
      <c r="I35" s="69"/>
      <c r="J35" s="33"/>
      <c r="K35" s="69"/>
      <c r="L35" s="69"/>
      <c r="M35" s="69"/>
      <c r="N35" s="69"/>
    </row>
    <row r="36" spans="1:14" x14ac:dyDescent="0.25">
      <c r="A36" s="69"/>
      <c r="B36" s="69"/>
      <c r="C36" s="69"/>
      <c r="D36" s="69"/>
      <c r="E36" s="69"/>
      <c r="F36" s="69"/>
      <c r="G36" s="69"/>
      <c r="H36" s="69"/>
      <c r="I36" s="69"/>
      <c r="J36" s="33"/>
      <c r="K36" s="69"/>
      <c r="L36" s="69"/>
      <c r="M36" s="69"/>
      <c r="N36" s="69"/>
    </row>
  </sheetData>
  <mergeCells count="3">
    <mergeCell ref="F5:L15"/>
    <mergeCell ref="C6:D6"/>
    <mergeCell ref="C9:D9"/>
  </mergeCells>
  <pageMargins left="0.25" right="0.25" top="0.75" bottom="0.75" header="0.3" footer="0.3"/>
  <pageSetup paperSize="9" scale="89" orientation="landscape" horizontalDpi="300" verticalDpi="300" r:id="rId1"/>
  <ignoredErrors>
    <ignoredError sqref="B19 B20:B24" numberStoredAsText="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F8B3A53D-8AA7-49F4-A727-E9DDB6900A77}">
          <x14:formula1>
            <xm:f>LISTS!$B$2:$B$4</xm:f>
          </x14:formula1>
          <xm:sqref>K19:K24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082F-5B4D-4EF9-A44D-834DF9A2D6E0}">
  <sheetPr codeName="Sheet2">
    <tabColor theme="1" tint="0.249977111117893"/>
  </sheetPr>
  <dimension ref="B1:O62"/>
  <sheetViews>
    <sheetView workbookViewId="0">
      <selection activeCell="J62" sqref="J62"/>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0.140625"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t="str">
        <f>'EXAMPLE-PRODUCT &amp; VOLUME'!C19</f>
        <v>Chicken Lip Nuggets</v>
      </c>
      <c r="C6" s="226"/>
      <c r="D6" s="227"/>
      <c r="E6" s="228">
        <f>'EXAMPLE-PRODUCT &amp; VOLUME'!D19</f>
        <v>0.34</v>
      </c>
      <c r="F6" s="229"/>
      <c r="G6" s="230">
        <f>E6*102.5%</f>
        <v>0.34849999999999998</v>
      </c>
      <c r="H6" s="231"/>
      <c r="I6" s="232">
        <f>(E6-G6)/E6</f>
        <v>-2.4999999999999856E-2</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t="s">
        <v>41</v>
      </c>
      <c r="D9" s="207"/>
      <c r="E9" s="207"/>
      <c r="F9" s="207"/>
      <c r="G9" s="207"/>
      <c r="H9" s="4">
        <v>200</v>
      </c>
      <c r="I9" s="41">
        <f>IFERROR(IF(H9/$H$29=0,"",H9/$H$29),"")</f>
        <v>0.77417356971433005</v>
      </c>
      <c r="J9" s="45">
        <v>1</v>
      </c>
      <c r="K9" s="39">
        <v>9.25</v>
      </c>
      <c r="L9" s="48">
        <f t="shared" ref="L9:L19" si="0">IFERROR(H9/J9,"")</f>
        <v>200</v>
      </c>
      <c r="M9" s="50">
        <f t="shared" ref="M9:M19" si="1">IFERROR(L9*K9,"")</f>
        <v>1850</v>
      </c>
    </row>
    <row r="10" spans="2:15" x14ac:dyDescent="0.25">
      <c r="B10" s="35">
        <v>2</v>
      </c>
      <c r="C10" s="206" t="s">
        <v>43</v>
      </c>
      <c r="D10" s="207"/>
      <c r="E10" s="207"/>
      <c r="F10" s="207"/>
      <c r="G10" s="207"/>
      <c r="H10" s="4">
        <v>15</v>
      </c>
      <c r="I10" s="41">
        <f t="shared" ref="I10:I28" si="2">IFERROR(IF(H10/$H$29=0,"",H10/$H$29),"")</f>
        <v>5.8063017728574751E-2</v>
      </c>
      <c r="J10" s="45">
        <v>1</v>
      </c>
      <c r="K10" s="39">
        <v>2.15</v>
      </c>
      <c r="L10" s="48">
        <f t="shared" si="0"/>
        <v>15</v>
      </c>
      <c r="M10" s="50">
        <f t="shared" si="1"/>
        <v>32.25</v>
      </c>
    </row>
    <row r="11" spans="2:15" x14ac:dyDescent="0.25">
      <c r="B11" s="35">
        <v>3</v>
      </c>
      <c r="C11" s="206" t="s">
        <v>44</v>
      </c>
      <c r="D11" s="207"/>
      <c r="E11" s="207"/>
      <c r="F11" s="207"/>
      <c r="G11" s="207"/>
      <c r="H11" s="4">
        <v>0.08</v>
      </c>
      <c r="I11" s="41">
        <f t="shared" si="2"/>
        <v>3.0966942788573199E-4</v>
      </c>
      <c r="J11" s="45">
        <v>1</v>
      </c>
      <c r="K11" s="39">
        <v>26</v>
      </c>
      <c r="L11" s="48">
        <f t="shared" si="0"/>
        <v>0.08</v>
      </c>
      <c r="M11" s="50">
        <f t="shared" si="1"/>
        <v>2.08</v>
      </c>
    </row>
    <row r="12" spans="2:15" x14ac:dyDescent="0.25">
      <c r="B12" s="35">
        <v>4</v>
      </c>
      <c r="C12" s="42" t="s">
        <v>56</v>
      </c>
      <c r="D12" s="43"/>
      <c r="E12" s="43"/>
      <c r="F12" s="43"/>
      <c r="G12" s="43"/>
      <c r="H12" s="4">
        <v>4</v>
      </c>
      <c r="I12" s="41">
        <f t="shared" si="2"/>
        <v>1.54834713942866E-2</v>
      </c>
      <c r="J12" s="45">
        <v>0.88</v>
      </c>
      <c r="K12" s="39">
        <v>0.72</v>
      </c>
      <c r="L12" s="48">
        <f t="shared" si="0"/>
        <v>4.5454545454545459</v>
      </c>
      <c r="M12" s="50">
        <f t="shared" si="1"/>
        <v>3.2727272727272729</v>
      </c>
      <c r="N12" s="47"/>
    </row>
    <row r="13" spans="2:15" x14ac:dyDescent="0.25">
      <c r="B13" s="35">
        <v>5</v>
      </c>
      <c r="C13" s="206" t="s">
        <v>45</v>
      </c>
      <c r="D13" s="207"/>
      <c r="E13" s="207"/>
      <c r="F13" s="207"/>
      <c r="G13" s="207"/>
      <c r="H13" s="4">
        <v>0.04</v>
      </c>
      <c r="I13" s="41">
        <f t="shared" si="2"/>
        <v>1.54834713942866E-4</v>
      </c>
      <c r="J13" s="45">
        <v>1</v>
      </c>
      <c r="K13" s="39">
        <v>22.5</v>
      </c>
      <c r="L13" s="48">
        <f t="shared" si="0"/>
        <v>0.04</v>
      </c>
      <c r="M13" s="50">
        <f t="shared" si="1"/>
        <v>0.9</v>
      </c>
    </row>
    <row r="14" spans="2:15" x14ac:dyDescent="0.25">
      <c r="B14" s="35">
        <v>6</v>
      </c>
      <c r="C14" s="206" t="s">
        <v>46</v>
      </c>
      <c r="D14" s="207"/>
      <c r="E14" s="207"/>
      <c r="F14" s="207"/>
      <c r="G14" s="207"/>
      <c r="H14" s="4">
        <v>1.4999999999999999E-2</v>
      </c>
      <c r="I14" s="41">
        <f t="shared" si="2"/>
        <v>5.8063017728574749E-5</v>
      </c>
      <c r="J14" s="45">
        <v>1</v>
      </c>
      <c r="K14" s="39">
        <v>0.98</v>
      </c>
      <c r="L14" s="48">
        <f t="shared" si="0"/>
        <v>1.4999999999999999E-2</v>
      </c>
      <c r="M14" s="50">
        <f t="shared" si="1"/>
        <v>1.47E-2</v>
      </c>
    </row>
    <row r="15" spans="2:15" x14ac:dyDescent="0.25">
      <c r="B15" s="35">
        <v>7</v>
      </c>
      <c r="C15" s="206" t="s">
        <v>47</v>
      </c>
      <c r="D15" s="207"/>
      <c r="E15" s="207"/>
      <c r="F15" s="207"/>
      <c r="G15" s="207"/>
      <c r="H15" s="4">
        <v>5.0000000000000001E-3</v>
      </c>
      <c r="I15" s="41">
        <f t="shared" si="2"/>
        <v>1.935433924285825E-5</v>
      </c>
      <c r="J15" s="45">
        <v>1</v>
      </c>
      <c r="K15" s="39">
        <v>19.850000000000001</v>
      </c>
      <c r="L15" s="48">
        <f t="shared" si="0"/>
        <v>5.0000000000000001E-3</v>
      </c>
      <c r="M15" s="50">
        <f t="shared" si="1"/>
        <v>9.9250000000000005E-2</v>
      </c>
    </row>
    <row r="16" spans="2:15" x14ac:dyDescent="0.25">
      <c r="B16" s="35">
        <v>8</v>
      </c>
      <c r="C16" s="42" t="s">
        <v>49</v>
      </c>
      <c r="D16" s="43"/>
      <c r="E16" s="43"/>
      <c r="F16" s="43"/>
      <c r="G16" s="43"/>
      <c r="H16" s="4">
        <v>5.2</v>
      </c>
      <c r="I16" s="41">
        <f t="shared" si="2"/>
        <v>2.012851281257258E-2</v>
      </c>
      <c r="J16" s="45">
        <v>0.8</v>
      </c>
      <c r="K16" s="39">
        <v>8.9499999999999993</v>
      </c>
      <c r="L16" s="48">
        <f t="shared" si="0"/>
        <v>6.5</v>
      </c>
      <c r="M16" s="50">
        <f t="shared" si="1"/>
        <v>58.174999999999997</v>
      </c>
    </row>
    <row r="17" spans="2:13" x14ac:dyDescent="0.25">
      <c r="B17" s="35">
        <v>9</v>
      </c>
      <c r="C17" s="42" t="s">
        <v>50</v>
      </c>
      <c r="D17" s="43"/>
      <c r="E17" s="43"/>
      <c r="F17" s="43"/>
      <c r="G17" s="43"/>
      <c r="H17" s="4">
        <v>10</v>
      </c>
      <c r="I17" s="41">
        <f t="shared" si="2"/>
        <v>3.8708678485716498E-2</v>
      </c>
      <c r="J17" s="45">
        <v>1</v>
      </c>
      <c r="K17" s="39">
        <v>0</v>
      </c>
      <c r="L17" s="48">
        <f t="shared" si="0"/>
        <v>10</v>
      </c>
      <c r="M17" s="50">
        <f t="shared" si="1"/>
        <v>0</v>
      </c>
    </row>
    <row r="18" spans="2:13" x14ac:dyDescent="0.25">
      <c r="B18" s="35">
        <v>10</v>
      </c>
      <c r="C18" s="42" t="s">
        <v>48</v>
      </c>
      <c r="D18" s="43"/>
      <c r="E18" s="43"/>
      <c r="F18" s="43"/>
      <c r="G18" s="43"/>
      <c r="H18" s="4">
        <v>18</v>
      </c>
      <c r="I18" s="41">
        <f t="shared" si="2"/>
        <v>6.9675621274289709E-2</v>
      </c>
      <c r="J18" s="45">
        <v>0.75</v>
      </c>
      <c r="K18" s="39">
        <v>12.65</v>
      </c>
      <c r="L18" s="48">
        <f t="shared" si="0"/>
        <v>24</v>
      </c>
      <c r="M18" s="50">
        <f t="shared" si="1"/>
        <v>303.60000000000002</v>
      </c>
    </row>
    <row r="19" spans="2:13" x14ac:dyDescent="0.25">
      <c r="B19" s="35">
        <v>11</v>
      </c>
      <c r="C19" s="206" t="s">
        <v>51</v>
      </c>
      <c r="D19" s="207"/>
      <c r="E19" s="207"/>
      <c r="F19" s="207"/>
      <c r="G19" s="207"/>
      <c r="H19" s="4">
        <v>6</v>
      </c>
      <c r="I19" s="41">
        <f t="shared" si="2"/>
        <v>2.32252070914299E-2</v>
      </c>
      <c r="J19" s="45">
        <v>1</v>
      </c>
      <c r="K19" s="39">
        <v>1.95</v>
      </c>
      <c r="L19" s="48">
        <f t="shared" si="0"/>
        <v>6</v>
      </c>
      <c r="M19" s="50">
        <f t="shared" si="1"/>
        <v>11.7</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258.33999999999997</v>
      </c>
      <c r="I29" s="51">
        <f>SUM(I9:I28)</f>
        <v>1</v>
      </c>
      <c r="J29" s="222"/>
      <c r="K29" s="223"/>
      <c r="L29" s="52">
        <f>SUM(L9:L28)</f>
        <v>266.18545454545449</v>
      </c>
      <c r="M29" s="85">
        <f>SUM(M9:M28)</f>
        <v>2262.0916772727269</v>
      </c>
    </row>
    <row r="30" spans="2:13" ht="6.75" customHeight="1" x14ac:dyDescent="0.25"/>
    <row r="31" spans="2:13" x14ac:dyDescent="0.25">
      <c r="B31" s="224" t="s">
        <v>63</v>
      </c>
      <c r="C31" s="224"/>
      <c r="D31" s="224"/>
      <c r="E31" s="224"/>
      <c r="F31" s="224"/>
      <c r="G31" s="224"/>
      <c r="H31" s="37" t="s">
        <v>64</v>
      </c>
      <c r="I31" s="49" t="s">
        <v>67</v>
      </c>
      <c r="J31" s="49" t="s">
        <v>67</v>
      </c>
    </row>
    <row r="32" spans="2:13" x14ac:dyDescent="0.25">
      <c r="B32" s="34">
        <v>1</v>
      </c>
      <c r="C32" s="219" t="s">
        <v>65</v>
      </c>
      <c r="D32" s="220"/>
      <c r="E32" s="220"/>
      <c r="F32" s="220"/>
      <c r="G32" s="220"/>
      <c r="H32" s="53">
        <f>H29/G6</f>
        <v>741.29124820659968</v>
      </c>
      <c r="I32" s="38">
        <v>0.49</v>
      </c>
      <c r="J32" s="72">
        <f>H32*I32</f>
        <v>363.23271162123382</v>
      </c>
    </row>
    <row r="33" spans="2:11" x14ac:dyDescent="0.25">
      <c r="B33" s="35">
        <v>2</v>
      </c>
      <c r="C33" s="206" t="s">
        <v>66</v>
      </c>
      <c r="D33" s="207"/>
      <c r="E33" s="207"/>
      <c r="F33" s="207"/>
      <c r="G33" s="207"/>
      <c r="H33" s="54">
        <f>H32/G62</f>
        <v>123.54854136776662</v>
      </c>
      <c r="I33" s="39">
        <v>1.25</v>
      </c>
      <c r="J33" s="73">
        <f>H33*I33</f>
        <v>154.43567670970828</v>
      </c>
    </row>
    <row r="34" spans="2:11" x14ac:dyDescent="0.25">
      <c r="B34" s="35">
        <v>3</v>
      </c>
      <c r="C34" s="206"/>
      <c r="D34" s="207"/>
      <c r="E34" s="207"/>
      <c r="F34" s="207"/>
      <c r="G34" s="207"/>
      <c r="H34" s="4"/>
      <c r="I34" s="39"/>
      <c r="J34" s="73">
        <f>H34*I34</f>
        <v>0</v>
      </c>
    </row>
    <row r="35" spans="2:11" x14ac:dyDescent="0.25">
      <c r="B35" s="36">
        <v>4</v>
      </c>
      <c r="C35" s="44"/>
      <c r="D35" s="32"/>
      <c r="E35" s="32"/>
      <c r="F35" s="32"/>
      <c r="G35" s="32"/>
      <c r="H35" s="56"/>
      <c r="I35" s="40"/>
      <c r="J35" s="74">
        <f>H35*I35</f>
        <v>0</v>
      </c>
    </row>
    <row r="36" spans="2:11" x14ac:dyDescent="0.25">
      <c r="B36" s="203" t="s">
        <v>88</v>
      </c>
      <c r="C36" s="203"/>
      <c r="D36" s="203"/>
      <c r="E36" s="203"/>
      <c r="F36" s="203"/>
      <c r="G36" s="88"/>
      <c r="H36" s="89"/>
      <c r="I36" s="90"/>
      <c r="J36" s="86">
        <f>SUM(J32:J35)</f>
        <v>517.66838833094209</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67</v>
      </c>
    </row>
    <row r="40" spans="2:11" x14ac:dyDescent="0.25">
      <c r="B40" s="34">
        <v>1</v>
      </c>
      <c r="C40" s="219" t="s">
        <v>69</v>
      </c>
      <c r="D40" s="220"/>
      <c r="E40" s="220"/>
      <c r="F40" s="220"/>
      <c r="G40" s="220"/>
      <c r="H40" s="53">
        <v>2</v>
      </c>
      <c r="I40" s="57">
        <v>8</v>
      </c>
      <c r="J40" s="80">
        <v>34.93</v>
      </c>
      <c r="K40" s="72">
        <f>H40*I40*J40</f>
        <v>558.88</v>
      </c>
    </row>
    <row r="41" spans="2:11" x14ac:dyDescent="0.25">
      <c r="B41" s="36">
        <v>2</v>
      </c>
      <c r="C41" s="209" t="s">
        <v>73</v>
      </c>
      <c r="D41" s="210"/>
      <c r="E41" s="210"/>
      <c r="F41" s="210"/>
      <c r="G41" s="210"/>
      <c r="H41" s="59">
        <v>0</v>
      </c>
      <c r="I41" s="60">
        <v>8</v>
      </c>
      <c r="J41" s="3">
        <v>32.479999999999997</v>
      </c>
      <c r="K41" s="74">
        <f>H41*I41*J41</f>
        <v>0</v>
      </c>
    </row>
    <row r="42" spans="2:11" x14ac:dyDescent="0.25">
      <c r="B42" s="203" t="s">
        <v>87</v>
      </c>
      <c r="C42" s="203"/>
      <c r="D42" s="203"/>
      <c r="E42" s="203"/>
      <c r="F42" s="203"/>
      <c r="G42" s="88"/>
      <c r="H42" s="89"/>
      <c r="I42" s="91"/>
      <c r="J42" s="77"/>
      <c r="K42" s="86">
        <f>SUM(K40:K41)</f>
        <v>558.88</v>
      </c>
    </row>
    <row r="43" spans="2:11" x14ac:dyDescent="0.25">
      <c r="B43" s="1"/>
      <c r="C43" s="65"/>
      <c r="D43" s="65"/>
      <c r="E43" s="65"/>
      <c r="F43" s="65"/>
      <c r="G43" s="65"/>
      <c r="H43" s="66"/>
      <c r="I43" s="67"/>
    </row>
    <row r="44" spans="2:11" ht="15" customHeight="1" x14ac:dyDescent="0.25">
      <c r="B44" s="214" t="s">
        <v>85</v>
      </c>
      <c r="C44" s="214"/>
      <c r="D44" s="214"/>
      <c r="E44" s="214"/>
      <c r="F44" s="214"/>
      <c r="G44" s="215">
        <f>'EXAMPLE-PRODUCT &amp; VOLUME'!M25</f>
        <v>16200.000000000002</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v>4000</v>
      </c>
      <c r="J46" s="73">
        <f>I46/$G$44</f>
        <v>0.24691358024691354</v>
      </c>
    </row>
    <row r="47" spans="2:11" x14ac:dyDescent="0.25">
      <c r="B47" s="35">
        <v>2</v>
      </c>
      <c r="C47" s="206" t="s">
        <v>50</v>
      </c>
      <c r="D47" s="207"/>
      <c r="E47" s="207"/>
      <c r="F47" s="207"/>
      <c r="G47" s="207"/>
      <c r="H47" s="208"/>
      <c r="I47" s="61">
        <v>1200</v>
      </c>
      <c r="J47" s="73">
        <f t="shared" ref="J47:J56" si="5">I47/$G$44</f>
        <v>7.407407407407407E-2</v>
      </c>
    </row>
    <row r="48" spans="2:11" x14ac:dyDescent="0.25">
      <c r="B48" s="35">
        <v>3</v>
      </c>
      <c r="C48" s="206" t="s">
        <v>75</v>
      </c>
      <c r="D48" s="207"/>
      <c r="E48" s="207"/>
      <c r="F48" s="207"/>
      <c r="G48" s="207"/>
      <c r="H48" s="208"/>
      <c r="I48" s="61">
        <v>5000</v>
      </c>
      <c r="J48" s="73">
        <f t="shared" si="5"/>
        <v>0.30864197530864196</v>
      </c>
    </row>
    <row r="49" spans="2:10" x14ac:dyDescent="0.25">
      <c r="B49" s="35">
        <v>4</v>
      </c>
      <c r="C49" s="206" t="s">
        <v>82</v>
      </c>
      <c r="D49" s="207"/>
      <c r="E49" s="207"/>
      <c r="F49" s="207"/>
      <c r="G49" s="207"/>
      <c r="H49" s="208"/>
      <c r="I49" s="61">
        <v>0</v>
      </c>
      <c r="J49" s="73">
        <f t="shared" si="5"/>
        <v>0</v>
      </c>
    </row>
    <row r="50" spans="2:10" x14ac:dyDescent="0.25">
      <c r="B50" s="35">
        <v>5</v>
      </c>
      <c r="C50" s="206" t="s">
        <v>76</v>
      </c>
      <c r="D50" s="207"/>
      <c r="E50" s="207"/>
      <c r="F50" s="207"/>
      <c r="G50" s="207"/>
      <c r="H50" s="208"/>
      <c r="I50" s="61">
        <v>1500</v>
      </c>
      <c r="J50" s="73">
        <f t="shared" si="5"/>
        <v>9.2592592592592587E-2</v>
      </c>
    </row>
    <row r="51" spans="2:10" x14ac:dyDescent="0.25">
      <c r="B51" s="35">
        <v>6</v>
      </c>
      <c r="C51" s="206" t="s">
        <v>77</v>
      </c>
      <c r="D51" s="207"/>
      <c r="E51" s="207"/>
      <c r="F51" s="207"/>
      <c r="G51" s="207"/>
      <c r="H51" s="208"/>
      <c r="I51" s="61">
        <v>800</v>
      </c>
      <c r="J51" s="73">
        <f t="shared" si="5"/>
        <v>4.9382716049382713E-2</v>
      </c>
    </row>
    <row r="52" spans="2:10" x14ac:dyDescent="0.25">
      <c r="B52" s="35">
        <v>7</v>
      </c>
      <c r="C52" s="206" t="s">
        <v>78</v>
      </c>
      <c r="D52" s="207"/>
      <c r="E52" s="207"/>
      <c r="F52" s="207"/>
      <c r="G52" s="207"/>
      <c r="H52" s="208"/>
      <c r="I52" s="61">
        <v>12000</v>
      </c>
      <c r="J52" s="73">
        <f t="shared" si="5"/>
        <v>0.7407407407407407</v>
      </c>
    </row>
    <row r="53" spans="2:10" x14ac:dyDescent="0.25">
      <c r="B53" s="35">
        <v>8</v>
      </c>
      <c r="C53" s="206" t="s">
        <v>80</v>
      </c>
      <c r="D53" s="207"/>
      <c r="E53" s="207"/>
      <c r="F53" s="207"/>
      <c r="G53" s="207"/>
      <c r="H53" s="208"/>
      <c r="I53" s="61">
        <v>0</v>
      </c>
      <c r="J53" s="73">
        <f t="shared" si="5"/>
        <v>0</v>
      </c>
    </row>
    <row r="54" spans="2:10" x14ac:dyDescent="0.25">
      <c r="B54" s="35">
        <v>9</v>
      </c>
      <c r="C54" s="206" t="s">
        <v>81</v>
      </c>
      <c r="D54" s="207"/>
      <c r="E54" s="207"/>
      <c r="F54" s="207"/>
      <c r="G54" s="207"/>
      <c r="H54" s="208"/>
      <c r="I54" s="39">
        <v>0</v>
      </c>
      <c r="J54" s="73">
        <f t="shared" si="5"/>
        <v>0</v>
      </c>
    </row>
    <row r="55" spans="2:10" x14ac:dyDescent="0.25">
      <c r="B55" s="35">
        <v>10</v>
      </c>
      <c r="C55" s="42" t="s">
        <v>128</v>
      </c>
      <c r="D55" s="43"/>
      <c r="E55" s="43"/>
      <c r="F55" s="43"/>
      <c r="G55" s="43"/>
      <c r="H55" s="168"/>
      <c r="I55" s="39">
        <v>5000</v>
      </c>
      <c r="J55" s="73">
        <f>I55/$G$44</f>
        <v>0.30864197530864196</v>
      </c>
    </row>
    <row r="56" spans="2:10" x14ac:dyDescent="0.25">
      <c r="B56" s="36">
        <v>11</v>
      </c>
      <c r="C56" s="209" t="s">
        <v>147</v>
      </c>
      <c r="D56" s="210"/>
      <c r="E56" s="210"/>
      <c r="F56" s="210"/>
      <c r="G56" s="210"/>
      <c r="H56" s="211"/>
      <c r="I56" s="71">
        <v>7600</v>
      </c>
      <c r="J56" s="74">
        <f t="shared" si="5"/>
        <v>0.46913580246913578</v>
      </c>
    </row>
    <row r="57" spans="2:10" x14ac:dyDescent="0.25">
      <c r="B57" s="203" t="s">
        <v>86</v>
      </c>
      <c r="C57" s="203"/>
      <c r="D57" s="203"/>
      <c r="E57" s="203"/>
      <c r="F57" s="203"/>
      <c r="G57" s="75"/>
      <c r="H57" s="76"/>
      <c r="I57" s="76"/>
      <c r="J57" s="86">
        <f>SUM(J46:J56)</f>
        <v>2.2901234567901234</v>
      </c>
    </row>
    <row r="58" spans="2:10" x14ac:dyDescent="0.25">
      <c r="B58" s="203" t="s">
        <v>90</v>
      </c>
      <c r="C58" s="203"/>
      <c r="D58" s="203"/>
      <c r="E58" s="203"/>
      <c r="F58" s="203"/>
      <c r="G58" s="75"/>
      <c r="H58" s="76"/>
      <c r="I58" s="77"/>
      <c r="J58" s="86">
        <f>J57*H29</f>
        <v>591.63049382716042</v>
      </c>
    </row>
    <row r="60" spans="2:10" x14ac:dyDescent="0.25">
      <c r="B60" s="203" t="s">
        <v>89</v>
      </c>
      <c r="C60" s="203"/>
      <c r="D60" s="203"/>
      <c r="E60" s="203"/>
      <c r="F60" s="203"/>
      <c r="G60" s="212">
        <f>SUM(M29,J36,K42,J58)</f>
        <v>3930.2705594308295</v>
      </c>
      <c r="H60" s="213"/>
    </row>
    <row r="61" spans="2:10" x14ac:dyDescent="0.25">
      <c r="B61" s="203" t="s">
        <v>91</v>
      </c>
      <c r="C61" s="203"/>
      <c r="D61" s="203"/>
      <c r="E61" s="203"/>
      <c r="F61" s="203"/>
      <c r="G61" s="204">
        <f>H29/G6</f>
        <v>741.29124820659968</v>
      </c>
      <c r="H61" s="205"/>
      <c r="I61" s="85">
        <f>$G$60/G61</f>
        <v>5.3019249437239457</v>
      </c>
    </row>
    <row r="62" spans="2:10" x14ac:dyDescent="0.25">
      <c r="B62" s="203" t="s">
        <v>92</v>
      </c>
      <c r="C62" s="203"/>
      <c r="D62" s="203"/>
      <c r="E62" s="203"/>
      <c r="F62" s="203"/>
      <c r="G62" s="105">
        <f>'EXAMPLE-PRODUCT &amp; VOLUME'!E19</f>
        <v>6</v>
      </c>
      <c r="H62" s="81">
        <f>G61/G62</f>
        <v>123.54854136776662</v>
      </c>
      <c r="I62" s="87">
        <f>$G$60/H62</f>
        <v>31.811549662343673</v>
      </c>
    </row>
  </sheetData>
  <mergeCells count="58">
    <mergeCell ref="B2:O2"/>
    <mergeCell ref="B3:O3"/>
    <mergeCell ref="B5:D5"/>
    <mergeCell ref="E5:F5"/>
    <mergeCell ref="G5:H5"/>
    <mergeCell ref="I5:J5"/>
    <mergeCell ref="C19:G19"/>
    <mergeCell ref="B6:D6"/>
    <mergeCell ref="E6:F6"/>
    <mergeCell ref="G6:H6"/>
    <mergeCell ref="I6:J6"/>
    <mergeCell ref="B8:G8"/>
    <mergeCell ref="C9:G9"/>
    <mergeCell ref="C10:G10"/>
    <mergeCell ref="C11:G11"/>
    <mergeCell ref="C13:G13"/>
    <mergeCell ref="C14:G14"/>
    <mergeCell ref="C15:G15"/>
    <mergeCell ref="J29:K29"/>
    <mergeCell ref="B31:G31"/>
    <mergeCell ref="C20:G20"/>
    <mergeCell ref="C21:G21"/>
    <mergeCell ref="C22:G22"/>
    <mergeCell ref="C23:G23"/>
    <mergeCell ref="C24:G24"/>
    <mergeCell ref="C25:G25"/>
    <mergeCell ref="C40:G40"/>
    <mergeCell ref="C26:G26"/>
    <mergeCell ref="C27:G27"/>
    <mergeCell ref="C28:G28"/>
    <mergeCell ref="B29:G29"/>
    <mergeCell ref="C32:G32"/>
    <mergeCell ref="C33:G33"/>
    <mergeCell ref="C34:G34"/>
    <mergeCell ref="B36:F36"/>
    <mergeCell ref="B39:G39"/>
    <mergeCell ref="C52:H52"/>
    <mergeCell ref="C41:G41"/>
    <mergeCell ref="B42:F42"/>
    <mergeCell ref="B44:F44"/>
    <mergeCell ref="G44:H44"/>
    <mergeCell ref="B45:H45"/>
    <mergeCell ref="C46:H46"/>
    <mergeCell ref="C47:H47"/>
    <mergeCell ref="C48:H48"/>
    <mergeCell ref="C49:H49"/>
    <mergeCell ref="C50:H50"/>
    <mergeCell ref="C51:H51"/>
    <mergeCell ref="B61:F61"/>
    <mergeCell ref="G61:H61"/>
    <mergeCell ref="B62:F62"/>
    <mergeCell ref="C53:H53"/>
    <mergeCell ref="C54:H54"/>
    <mergeCell ref="C56:H56"/>
    <mergeCell ref="B57:F57"/>
    <mergeCell ref="B58:F58"/>
    <mergeCell ref="B60:F60"/>
    <mergeCell ref="G60:H60"/>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2918-748E-4DAD-8754-942923661A2E}">
  <sheetPr codeName="Sheet3">
    <tabColor theme="1" tint="0.249977111117893"/>
  </sheetPr>
  <dimension ref="A1:S38"/>
  <sheetViews>
    <sheetView zoomScaleNormal="100" workbookViewId="0">
      <selection activeCell="H2" sqref="H2"/>
    </sheetView>
  </sheetViews>
  <sheetFormatPr defaultRowHeight="13.5" x14ac:dyDescent="0.25"/>
  <cols>
    <col min="1" max="1" width="2.42578125" style="119" customWidth="1"/>
    <col min="2" max="2" width="3.42578125" style="119" customWidth="1"/>
    <col min="3" max="3" width="29.28515625" style="119" customWidth="1"/>
    <col min="4" max="6" width="10.5703125" style="119" customWidth="1"/>
    <col min="7" max="7" width="6.140625" style="119" customWidth="1"/>
    <col min="8" max="8" width="9" style="119" customWidth="1"/>
    <col min="9" max="9" width="1.7109375" style="119" customWidth="1"/>
    <col min="10" max="13" width="9.7109375" style="119" customWidth="1"/>
    <col min="14" max="14" width="1.7109375" style="119" customWidth="1"/>
    <col min="15" max="17" width="11" style="119" customWidth="1"/>
    <col min="18" max="18" width="2.28515625" style="119" customWidth="1"/>
    <col min="19" max="16384" width="9.140625" style="119"/>
  </cols>
  <sheetData>
    <row r="1" spans="1:19" x14ac:dyDescent="0.25">
      <c r="A1" s="169"/>
      <c r="B1" s="169"/>
      <c r="C1" s="169"/>
      <c r="D1" s="169"/>
      <c r="E1" s="169"/>
      <c r="F1" s="169"/>
      <c r="G1" s="169"/>
      <c r="H1" s="169"/>
      <c r="I1" s="169"/>
      <c r="J1" s="169"/>
      <c r="K1" s="169"/>
      <c r="L1" s="169"/>
      <c r="M1" s="169"/>
      <c r="N1" s="169"/>
      <c r="O1" s="169"/>
      <c r="P1" s="169"/>
      <c r="Q1" s="169"/>
      <c r="R1" s="169"/>
      <c r="S1" s="169"/>
    </row>
    <row r="2" spans="1:19" x14ac:dyDescent="0.25">
      <c r="A2" s="169"/>
      <c r="B2" s="169"/>
      <c r="C2" s="169"/>
      <c r="D2" s="169"/>
      <c r="E2" s="169"/>
      <c r="F2" s="169"/>
      <c r="G2" s="169"/>
      <c r="H2" s="169"/>
      <c r="I2" s="169"/>
      <c r="J2" s="169"/>
      <c r="K2" s="169"/>
      <c r="L2" s="169"/>
      <c r="M2" s="169"/>
      <c r="N2" s="169"/>
      <c r="O2" s="169"/>
      <c r="P2" s="169"/>
      <c r="Q2" s="169"/>
      <c r="R2" s="169"/>
      <c r="S2" s="169"/>
    </row>
    <row r="3" spans="1:19" ht="15" x14ac:dyDescent="0.25">
      <c r="A3" s="169"/>
      <c r="B3" s="242" t="s">
        <v>16</v>
      </c>
      <c r="C3" s="20" t="s">
        <v>117</v>
      </c>
      <c r="D3" s="169"/>
      <c r="E3" s="169"/>
      <c r="F3" s="169"/>
      <c r="G3" s="169"/>
      <c r="H3" s="169"/>
      <c r="I3" s="169"/>
      <c r="J3" s="169"/>
      <c r="K3" s="169"/>
      <c r="L3" s="169"/>
      <c r="M3" s="169"/>
      <c r="N3" s="169"/>
      <c r="O3" s="169"/>
      <c r="P3" s="169"/>
      <c r="Q3" s="169"/>
      <c r="R3" s="169"/>
      <c r="S3" s="169"/>
    </row>
    <row r="4" spans="1:19" x14ac:dyDescent="0.25">
      <c r="A4" s="169"/>
      <c r="B4" s="242"/>
      <c r="C4" s="146"/>
      <c r="D4" s="169"/>
      <c r="E4" s="169"/>
      <c r="F4" s="169"/>
      <c r="G4" s="169"/>
      <c r="H4" s="169"/>
      <c r="I4" s="169"/>
      <c r="J4" s="169"/>
      <c r="K4" s="169"/>
      <c r="L4" s="169"/>
      <c r="M4" s="169"/>
      <c r="N4" s="169"/>
      <c r="O4" s="169"/>
      <c r="P4" s="169"/>
      <c r="Q4" s="169"/>
      <c r="R4" s="169"/>
      <c r="S4" s="169"/>
    </row>
    <row r="5" spans="1:19" x14ac:dyDescent="0.25">
      <c r="A5" s="169"/>
      <c r="B5" s="145"/>
      <c r="C5" s="115"/>
      <c r="D5" s="116" t="s">
        <v>94</v>
      </c>
      <c r="E5" s="115"/>
      <c r="F5" s="116" t="s">
        <v>33</v>
      </c>
      <c r="G5" s="117"/>
      <c r="H5" s="118" t="s">
        <v>102</v>
      </c>
      <c r="I5" s="169"/>
      <c r="J5" s="243" t="s">
        <v>105</v>
      </c>
      <c r="K5" s="244"/>
      <c r="L5" s="245" t="s">
        <v>106</v>
      </c>
      <c r="M5" s="246"/>
      <c r="N5" s="169"/>
      <c r="O5" s="118" t="s">
        <v>111</v>
      </c>
      <c r="P5" s="118" t="s">
        <v>113</v>
      </c>
      <c r="Q5" s="118" t="s">
        <v>112</v>
      </c>
      <c r="R5" s="169"/>
      <c r="S5" s="169"/>
    </row>
    <row r="6" spans="1:19" x14ac:dyDescent="0.25">
      <c r="A6" s="169"/>
      <c r="B6" s="145"/>
      <c r="C6" s="120" t="s">
        <v>2</v>
      </c>
      <c r="D6" s="120" t="s">
        <v>95</v>
      </c>
      <c r="E6" s="121" t="s">
        <v>27</v>
      </c>
      <c r="F6" s="120" t="s">
        <v>34</v>
      </c>
      <c r="G6" s="122" t="s">
        <v>38</v>
      </c>
      <c r="H6" s="122" t="s">
        <v>38</v>
      </c>
      <c r="I6" s="169"/>
      <c r="J6" s="245" t="s">
        <v>104</v>
      </c>
      <c r="K6" s="247"/>
      <c r="L6" s="245" t="s">
        <v>104</v>
      </c>
      <c r="M6" s="246"/>
      <c r="N6" s="169"/>
      <c r="O6" s="122" t="s">
        <v>112</v>
      </c>
      <c r="P6" s="122" t="s">
        <v>112</v>
      </c>
      <c r="Q6" s="122" t="s">
        <v>114</v>
      </c>
      <c r="R6" s="169"/>
      <c r="S6" s="169"/>
    </row>
    <row r="7" spans="1:19" x14ac:dyDescent="0.25">
      <c r="A7" s="169"/>
      <c r="B7" s="145"/>
      <c r="C7" s="123" t="str">
        <f>'EXAMPLE-PRODUCT &amp; VOLUME'!C19</f>
        <v>Chicken Lip Nuggets</v>
      </c>
      <c r="D7" s="124">
        <f>'EXAMPLE-PRODUCT &amp; VOLUME'!D19</f>
        <v>0.34</v>
      </c>
      <c r="E7" s="125">
        <f>'EXAMPLE-PRODUCT &amp; VOLUME'!J19</f>
        <v>11.95</v>
      </c>
      <c r="F7" s="125">
        <f>'EXAMPLE-PRODUCT &amp; VOLUME'!L19</f>
        <v>35.147058823529406</v>
      </c>
      <c r="G7" s="126" t="str">
        <f>'EXAMPLE-PRODUCT &amp; VOLUME'!K19</f>
        <v>YES</v>
      </c>
      <c r="H7" s="126">
        <f>IF(G7="YES",(E7/110%),E7)</f>
        <v>10.863636363636362</v>
      </c>
      <c r="I7" s="169"/>
      <c r="J7" s="127"/>
      <c r="K7" s="128"/>
      <c r="L7" s="128"/>
      <c r="M7" s="129"/>
      <c r="N7" s="169"/>
      <c r="O7" s="130">
        <v>0.2</v>
      </c>
      <c r="P7" s="130">
        <v>0.25</v>
      </c>
      <c r="Q7" s="131" t="s">
        <v>115</v>
      </c>
      <c r="R7" s="169"/>
      <c r="S7" s="169"/>
    </row>
    <row r="8" spans="1:19" x14ac:dyDescent="0.25">
      <c r="A8" s="169"/>
      <c r="B8" s="145"/>
      <c r="C8" s="132" t="s">
        <v>103</v>
      </c>
      <c r="D8" s="133">
        <v>0.3</v>
      </c>
      <c r="E8" s="134">
        <v>11</v>
      </c>
      <c r="F8" s="135">
        <f>E8/D8</f>
        <v>36.666666666666671</v>
      </c>
      <c r="G8" s="136" t="s">
        <v>39</v>
      </c>
      <c r="H8" s="126">
        <f>IF(G8="YES",(E8/110%),E8)</f>
        <v>10</v>
      </c>
      <c r="I8" s="169"/>
      <c r="J8" s="137">
        <f>E7-E8</f>
        <v>0.94999999999999929</v>
      </c>
      <c r="K8" s="138">
        <f>(E7-E8)/E7</f>
        <v>7.9497907949790739E-2</v>
      </c>
      <c r="L8" s="137">
        <f>F7-F8</f>
        <v>-1.5196078431372655</v>
      </c>
      <c r="M8" s="138">
        <f>(F7-F8)/F7</f>
        <v>-4.3235704323570739E-2</v>
      </c>
      <c r="N8" s="169"/>
      <c r="O8" s="139">
        <v>0.2</v>
      </c>
      <c r="P8" s="140">
        <v>0.5</v>
      </c>
      <c r="Q8" s="131" t="s">
        <v>115</v>
      </c>
      <c r="R8" s="169"/>
      <c r="S8" s="169"/>
    </row>
    <row r="9" spans="1:19" ht="15" customHeight="1" x14ac:dyDescent="0.25">
      <c r="A9" s="169"/>
      <c r="B9" s="145"/>
      <c r="C9" s="132" t="s">
        <v>110</v>
      </c>
      <c r="D9" s="133">
        <v>0.28000000000000003</v>
      </c>
      <c r="E9" s="134">
        <v>9</v>
      </c>
      <c r="F9" s="135">
        <f>E9/D9</f>
        <v>32.142857142857139</v>
      </c>
      <c r="G9" s="136" t="s">
        <v>39</v>
      </c>
      <c r="H9" s="126">
        <f>IF(G9="YES",(E9/110%),E9)</f>
        <v>8.1818181818181817</v>
      </c>
      <c r="I9" s="169"/>
      <c r="J9" s="137">
        <f>E7-E9</f>
        <v>2.9499999999999993</v>
      </c>
      <c r="K9" s="138">
        <f>(E7-E9)/E8</f>
        <v>0.26818181818181813</v>
      </c>
      <c r="L9" s="137">
        <f>F7-F9</f>
        <v>3.0042016806722671</v>
      </c>
      <c r="M9" s="138">
        <f>(F7-F9)/F8</f>
        <v>8.1932773109243642E-2</v>
      </c>
      <c r="N9" s="169"/>
      <c r="O9" s="141">
        <v>0.2</v>
      </c>
      <c r="P9" s="142">
        <v>0.3</v>
      </c>
      <c r="Q9" s="131" t="s">
        <v>116</v>
      </c>
      <c r="R9" s="169"/>
      <c r="S9" s="169"/>
    </row>
    <row r="10" spans="1:19" x14ac:dyDescent="0.25">
      <c r="A10" s="169"/>
      <c r="B10" s="169"/>
      <c r="C10" s="169"/>
      <c r="D10" s="169"/>
      <c r="E10" s="169"/>
      <c r="F10" s="169"/>
      <c r="G10" s="169"/>
      <c r="H10" s="169"/>
      <c r="I10" s="169"/>
      <c r="J10" s="169"/>
      <c r="K10" s="169"/>
      <c r="L10" s="169"/>
      <c r="M10" s="169"/>
      <c r="N10" s="169"/>
      <c r="O10" s="169"/>
      <c r="P10" s="169"/>
      <c r="Q10" s="169"/>
      <c r="R10" s="169"/>
      <c r="S10" s="169"/>
    </row>
    <row r="11" spans="1:19" ht="137.25" x14ac:dyDescent="0.25">
      <c r="A11" s="169"/>
      <c r="B11" s="145"/>
      <c r="C11" s="161" t="s">
        <v>118</v>
      </c>
      <c r="D11" s="162" t="s">
        <v>107</v>
      </c>
      <c r="E11" s="162" t="s">
        <v>108</v>
      </c>
      <c r="F11" s="162" t="s">
        <v>109</v>
      </c>
      <c r="G11" s="169"/>
      <c r="H11" s="249" t="s">
        <v>150</v>
      </c>
      <c r="I11" s="250"/>
      <c r="J11" s="250"/>
      <c r="K11" s="250"/>
      <c r="L11" s="250"/>
      <c r="M11" s="250"/>
      <c r="N11" s="250"/>
      <c r="O11" s="250"/>
      <c r="P11" s="250"/>
      <c r="Q11" s="251"/>
      <c r="R11" s="169"/>
      <c r="S11" s="169"/>
    </row>
    <row r="12" spans="1:19" ht="15" customHeight="1" x14ac:dyDescent="0.25">
      <c r="A12" s="169"/>
      <c r="B12" s="248" t="s">
        <v>127</v>
      </c>
      <c r="C12" s="178" t="s">
        <v>122</v>
      </c>
      <c r="D12" s="153">
        <v>11.95</v>
      </c>
      <c r="E12" s="153">
        <v>13</v>
      </c>
      <c r="F12" s="153">
        <v>11.95</v>
      </c>
      <c r="G12" s="169"/>
      <c r="H12" s="169"/>
      <c r="I12" s="169"/>
      <c r="J12" s="169"/>
      <c r="K12" s="169"/>
      <c r="L12" s="169"/>
      <c r="M12" s="169"/>
      <c r="N12" s="169"/>
      <c r="O12" s="169"/>
      <c r="P12" s="169"/>
      <c r="Q12" s="169"/>
      <c r="R12" s="169"/>
      <c r="S12" s="169"/>
    </row>
    <row r="13" spans="1:19" x14ac:dyDescent="0.25">
      <c r="A13" s="169"/>
      <c r="B13" s="248"/>
      <c r="C13" s="169" t="s">
        <v>123</v>
      </c>
      <c r="D13" s="134">
        <v>7.5</v>
      </c>
      <c r="E13" s="134">
        <v>8.1999999999999993</v>
      </c>
      <c r="F13" s="134">
        <v>11.95</v>
      </c>
      <c r="G13" s="169"/>
      <c r="H13" s="169"/>
      <c r="I13" s="169"/>
      <c r="J13" s="169"/>
      <c r="K13" s="169"/>
      <c r="L13" s="169"/>
      <c r="M13" s="169"/>
      <c r="N13" s="169"/>
      <c r="O13" s="169"/>
      <c r="P13" s="169"/>
      <c r="Q13" s="169"/>
      <c r="R13" s="169"/>
      <c r="S13" s="169"/>
    </row>
    <row r="14" spans="1:19" x14ac:dyDescent="0.25">
      <c r="A14" s="169"/>
      <c r="B14" s="248"/>
      <c r="C14" s="169" t="s">
        <v>119</v>
      </c>
      <c r="D14" s="148">
        <v>0.39</v>
      </c>
      <c r="E14" s="148">
        <v>0.26</v>
      </c>
      <c r="F14" s="148">
        <v>0</v>
      </c>
      <c r="G14" s="169"/>
      <c r="H14" s="169"/>
      <c r="I14" s="169"/>
      <c r="J14" s="169"/>
      <c r="K14" s="169"/>
      <c r="L14" s="169"/>
      <c r="M14" s="169"/>
      <c r="N14" s="169"/>
      <c r="O14" s="169"/>
      <c r="P14" s="169"/>
      <c r="Q14" s="169"/>
      <c r="R14" s="169"/>
      <c r="S14" s="169"/>
    </row>
    <row r="15" spans="1:19" x14ac:dyDescent="0.25">
      <c r="A15" s="169"/>
      <c r="B15" s="248"/>
      <c r="C15" s="169" t="s">
        <v>121</v>
      </c>
      <c r="D15" s="135">
        <f>D13-D14</f>
        <v>7.11</v>
      </c>
      <c r="E15" s="135">
        <f>E13-E14</f>
        <v>7.9399999999999995</v>
      </c>
      <c r="F15" s="135">
        <f>F13-F14</f>
        <v>11.95</v>
      </c>
      <c r="G15" s="169"/>
      <c r="H15" s="169"/>
      <c r="I15" s="169"/>
      <c r="J15" s="169"/>
      <c r="K15" s="169"/>
      <c r="L15" s="169"/>
      <c r="M15" s="169"/>
      <c r="N15" s="169"/>
      <c r="O15" s="169"/>
      <c r="P15" s="169"/>
      <c r="Q15" s="169"/>
      <c r="R15" s="169"/>
      <c r="S15" s="169"/>
    </row>
    <row r="16" spans="1:19" x14ac:dyDescent="0.25">
      <c r="A16" s="169"/>
      <c r="B16" s="248"/>
      <c r="C16" s="169" t="s">
        <v>120</v>
      </c>
      <c r="D16" s="149">
        <f>(D12-D15)/D12</f>
        <v>0.40502092050209199</v>
      </c>
      <c r="E16" s="149">
        <f>(E12-E15)/E12</f>
        <v>0.38923076923076927</v>
      </c>
      <c r="F16" s="150" t="s">
        <v>28</v>
      </c>
      <c r="G16" s="169"/>
      <c r="H16" s="169"/>
      <c r="I16" s="169"/>
      <c r="J16" s="169"/>
      <c r="K16" s="169"/>
      <c r="L16" s="169"/>
      <c r="M16" s="169"/>
      <c r="N16" s="169"/>
      <c r="O16" s="169"/>
      <c r="P16" s="169"/>
      <c r="Q16" s="169"/>
      <c r="R16" s="169"/>
      <c r="S16" s="169"/>
    </row>
    <row r="17" spans="1:19" ht="7.5" customHeight="1" x14ac:dyDescent="0.25">
      <c r="A17" s="169"/>
      <c r="B17" s="248"/>
      <c r="C17" s="169"/>
      <c r="D17" s="169"/>
      <c r="E17" s="169"/>
      <c r="F17" s="169"/>
      <c r="G17" s="169"/>
      <c r="H17" s="169"/>
      <c r="I17" s="169"/>
      <c r="J17" s="169"/>
      <c r="K17" s="169"/>
      <c r="L17" s="169"/>
      <c r="M17" s="169"/>
      <c r="N17" s="169"/>
      <c r="O17" s="169"/>
      <c r="P17" s="169"/>
      <c r="Q17" s="169"/>
      <c r="R17" s="169"/>
      <c r="S17" s="169"/>
    </row>
    <row r="18" spans="1:19" x14ac:dyDescent="0.25">
      <c r="A18" s="169"/>
      <c r="B18" s="248"/>
      <c r="C18" s="143" t="s">
        <v>124</v>
      </c>
      <c r="D18" s="151">
        <v>0.48</v>
      </c>
      <c r="E18" s="154">
        <v>0.6</v>
      </c>
      <c r="F18" s="144"/>
      <c r="G18" s="169"/>
      <c r="H18" s="169"/>
      <c r="I18" s="169"/>
      <c r="J18" s="169"/>
      <c r="K18" s="169"/>
      <c r="L18" s="169"/>
      <c r="M18" s="169"/>
      <c r="N18" s="169"/>
      <c r="O18" s="169"/>
      <c r="P18" s="169"/>
      <c r="Q18" s="169"/>
      <c r="R18" s="169"/>
      <c r="S18" s="169"/>
    </row>
    <row r="19" spans="1:19" x14ac:dyDescent="0.25">
      <c r="A19" s="169"/>
      <c r="B19" s="248"/>
      <c r="C19" s="179" t="s">
        <v>125</v>
      </c>
      <c r="D19" s="190">
        <f>D16-D18</f>
        <v>-7.4979079497907997E-2</v>
      </c>
      <c r="E19" s="190">
        <f>E16-E18</f>
        <v>-0.21076923076923071</v>
      </c>
      <c r="F19" s="191"/>
      <c r="G19" s="169"/>
      <c r="H19" s="169"/>
      <c r="I19" s="169"/>
      <c r="J19" s="169"/>
      <c r="K19" s="169"/>
      <c r="L19" s="169"/>
      <c r="M19" s="169"/>
      <c r="N19" s="169"/>
      <c r="O19" s="169"/>
      <c r="P19" s="169"/>
      <c r="Q19" s="169"/>
      <c r="R19" s="169"/>
      <c r="S19" s="169"/>
    </row>
    <row r="20" spans="1:19" x14ac:dyDescent="0.25">
      <c r="A20" s="169"/>
      <c r="B20" s="248"/>
      <c r="C20" s="179" t="s">
        <v>126</v>
      </c>
      <c r="D20" s="184">
        <f>(D15*D18)-(D15*D16)</f>
        <v>0.53310125523012575</v>
      </c>
      <c r="E20" s="184">
        <f>(E15*E18)-(E15*E16)</f>
        <v>1.6735076923076915</v>
      </c>
      <c r="F20" s="191"/>
      <c r="G20" s="169"/>
      <c r="H20" s="169"/>
      <c r="I20" s="169"/>
      <c r="J20" s="169"/>
      <c r="K20" s="169"/>
      <c r="L20" s="169"/>
      <c r="M20" s="169"/>
      <c r="N20" s="169"/>
      <c r="O20" s="169"/>
      <c r="P20" s="169"/>
      <c r="Q20" s="169"/>
      <c r="R20" s="169"/>
      <c r="S20" s="169"/>
    </row>
    <row r="21" spans="1:19" ht="11.25" customHeight="1" x14ac:dyDescent="0.25">
      <c r="A21" s="169"/>
      <c r="B21" s="169"/>
      <c r="C21" s="169"/>
      <c r="D21" s="169"/>
      <c r="E21" s="169"/>
      <c r="F21" s="169"/>
      <c r="G21" s="169"/>
      <c r="H21" s="169"/>
      <c r="I21" s="169"/>
      <c r="J21" s="169"/>
      <c r="K21" s="169"/>
      <c r="L21" s="169"/>
      <c r="M21" s="169"/>
      <c r="N21" s="169"/>
      <c r="O21" s="169"/>
      <c r="P21" s="169"/>
      <c r="Q21" s="169"/>
      <c r="R21" s="169"/>
      <c r="S21" s="169"/>
    </row>
    <row r="22" spans="1:19" ht="13.5" customHeight="1" x14ac:dyDescent="0.25">
      <c r="A22" s="169"/>
      <c r="B22" s="241" t="s">
        <v>135</v>
      </c>
      <c r="C22" s="157" t="s">
        <v>132</v>
      </c>
      <c r="D22" s="158">
        <f>D15-D20</f>
        <v>6.5768987447698741</v>
      </c>
      <c r="E22" s="158">
        <f>E15-E20</f>
        <v>6.2664923076923085</v>
      </c>
      <c r="F22" s="159"/>
      <c r="G22" s="169"/>
      <c r="H22" s="179" t="s">
        <v>141</v>
      </c>
      <c r="I22" s="169"/>
      <c r="J22" s="169"/>
      <c r="K22" s="169"/>
      <c r="L22" s="169"/>
      <c r="M22" s="169"/>
      <c r="N22" s="169"/>
      <c r="O22" s="169"/>
      <c r="P22" s="169"/>
      <c r="Q22" s="169"/>
      <c r="R22" s="169"/>
      <c r="S22" s="169"/>
    </row>
    <row r="23" spans="1:19" x14ac:dyDescent="0.25">
      <c r="A23" s="169"/>
      <c r="B23" s="241"/>
      <c r="C23" s="157" t="s">
        <v>133</v>
      </c>
      <c r="D23" s="158">
        <f>D22-D28</f>
        <v>1.2749738010459284</v>
      </c>
      <c r="E23" s="158">
        <f>E22-E28</f>
        <v>0.96456736396836273</v>
      </c>
      <c r="F23" s="159"/>
      <c r="G23" s="169"/>
      <c r="H23" s="169" t="s">
        <v>142</v>
      </c>
      <c r="I23" s="169"/>
      <c r="J23" s="169"/>
      <c r="K23" s="169"/>
      <c r="L23" s="169"/>
      <c r="M23" s="169"/>
      <c r="N23" s="169"/>
      <c r="O23" s="169"/>
      <c r="P23" s="169"/>
      <c r="Q23" s="169"/>
      <c r="R23" s="169"/>
      <c r="S23" s="169"/>
    </row>
    <row r="24" spans="1:19" x14ac:dyDescent="0.25">
      <c r="A24" s="169"/>
      <c r="B24" s="241"/>
      <c r="C24" s="157" t="s">
        <v>134</v>
      </c>
      <c r="D24" s="160">
        <f>(D22-D28)/D22</f>
        <v>0.19385638285214923</v>
      </c>
      <c r="E24" s="160">
        <f>(E22-E28)/E22</f>
        <v>0.15392460671887001</v>
      </c>
      <c r="F24" s="159"/>
      <c r="G24" s="169"/>
      <c r="H24" s="169" t="s">
        <v>143</v>
      </c>
      <c r="I24" s="169"/>
      <c r="J24" s="169"/>
      <c r="K24" s="169"/>
      <c r="L24" s="169"/>
      <c r="M24" s="169"/>
      <c r="N24" s="169"/>
      <c r="O24" s="169"/>
      <c r="P24" s="169"/>
      <c r="Q24" s="169"/>
      <c r="R24" s="169"/>
      <c r="S24" s="169"/>
    </row>
    <row r="25" spans="1:19" ht="11.25" customHeight="1" x14ac:dyDescent="0.25">
      <c r="A25" s="169"/>
      <c r="B25" s="241"/>
      <c r="C25" s="169"/>
      <c r="D25" s="169"/>
      <c r="E25" s="169"/>
      <c r="F25" s="169"/>
      <c r="G25" s="169"/>
      <c r="H25" s="169" t="s">
        <v>148</v>
      </c>
      <c r="I25" s="169"/>
      <c r="J25" s="169"/>
      <c r="K25" s="169"/>
      <c r="L25" s="169"/>
      <c r="M25" s="169"/>
      <c r="N25" s="169"/>
      <c r="O25" s="169"/>
      <c r="P25" s="169"/>
      <c r="Q25" s="169"/>
      <c r="R25" s="169"/>
      <c r="S25" s="169"/>
    </row>
    <row r="26" spans="1:19" x14ac:dyDescent="0.25">
      <c r="A26" s="169"/>
      <c r="B26" s="241"/>
      <c r="C26" s="169" t="s">
        <v>131</v>
      </c>
      <c r="D26" s="183">
        <f>(D15-D28)/D15</f>
        <v>0.25430028920900904</v>
      </c>
      <c r="E26" s="183">
        <f>(E15-E28)/E15</f>
        <v>0.33225126653350806</v>
      </c>
      <c r="F26" s="183">
        <f>(F13-F28)/F13</f>
        <v>0.55632427249172001</v>
      </c>
      <c r="G26" s="169"/>
      <c r="H26" s="169" t="s">
        <v>144</v>
      </c>
      <c r="I26" s="169"/>
      <c r="J26" s="169"/>
      <c r="K26" s="169"/>
      <c r="L26" s="169"/>
      <c r="M26" s="169"/>
      <c r="N26" s="169"/>
      <c r="O26" s="169"/>
      <c r="P26" s="169"/>
      <c r="Q26" s="169"/>
      <c r="R26" s="169"/>
      <c r="S26" s="169"/>
    </row>
    <row r="27" spans="1:19" x14ac:dyDescent="0.25">
      <c r="A27" s="169"/>
      <c r="B27" s="241"/>
      <c r="C27" s="169" t="s">
        <v>130</v>
      </c>
      <c r="D27" s="184">
        <f>D15-D28</f>
        <v>1.8080750562760546</v>
      </c>
      <c r="E27" s="184">
        <f>E15-E28</f>
        <v>2.6380750562760538</v>
      </c>
      <c r="F27" s="184">
        <f>F13-F28</f>
        <v>6.6480750562760536</v>
      </c>
      <c r="G27" s="169"/>
      <c r="H27" s="169" t="s">
        <v>149</v>
      </c>
      <c r="I27" s="169"/>
      <c r="J27" s="169"/>
      <c r="K27" s="169"/>
      <c r="L27" s="169"/>
      <c r="M27" s="169"/>
      <c r="N27" s="169"/>
      <c r="O27" s="169"/>
      <c r="P27" s="169"/>
      <c r="Q27" s="169"/>
      <c r="R27" s="169"/>
      <c r="S27" s="169"/>
    </row>
    <row r="28" spans="1:19" x14ac:dyDescent="0.25">
      <c r="A28" s="169"/>
      <c r="B28" s="241"/>
      <c r="C28" s="169" t="s">
        <v>129</v>
      </c>
      <c r="D28" s="185">
        <f>'EXAMPLE-COSTING SKU'!I61</f>
        <v>5.3019249437239457</v>
      </c>
      <c r="E28" s="185">
        <f>D28</f>
        <v>5.3019249437239457</v>
      </c>
      <c r="F28" s="185">
        <f>E28</f>
        <v>5.3019249437239457</v>
      </c>
      <c r="G28" s="169"/>
      <c r="H28" s="169"/>
      <c r="I28" s="169"/>
      <c r="J28" s="169"/>
      <c r="K28" s="169"/>
      <c r="L28" s="169"/>
      <c r="M28" s="169"/>
      <c r="N28" s="169"/>
      <c r="O28" s="169"/>
      <c r="P28" s="169"/>
      <c r="Q28" s="169"/>
      <c r="R28" s="169"/>
      <c r="S28" s="169"/>
    </row>
    <row r="29" spans="1:19" x14ac:dyDescent="0.25">
      <c r="A29" s="169"/>
      <c r="B29" s="241"/>
      <c r="C29" s="169"/>
      <c r="D29" s="169"/>
      <c r="E29" s="169"/>
      <c r="F29" s="169"/>
      <c r="G29" s="169"/>
      <c r="H29" s="169"/>
      <c r="I29" s="169"/>
      <c r="J29" s="169"/>
      <c r="K29" s="169"/>
      <c r="L29" s="169"/>
      <c r="M29" s="169"/>
      <c r="N29" s="169"/>
      <c r="O29" s="169"/>
      <c r="P29" s="169"/>
      <c r="Q29" s="169"/>
      <c r="R29" s="169"/>
      <c r="S29" s="169"/>
    </row>
    <row r="30" spans="1:19" x14ac:dyDescent="0.25">
      <c r="A30" s="169"/>
      <c r="B30" s="241"/>
      <c r="C30" s="169" t="s">
        <v>136</v>
      </c>
      <c r="D30" s="186">
        <f>'EXAMPLE-PRODUCT &amp; VOLUME'!G19</f>
        <v>4500</v>
      </c>
      <c r="E30" s="186">
        <f>'EXAMPLE-PRODUCT &amp; VOLUME'!H19</f>
        <v>25000</v>
      </c>
      <c r="F30" s="186">
        <f>'EXAMPLE-PRODUCT &amp; VOLUME'!I19</f>
        <v>10500</v>
      </c>
      <c r="G30" s="169"/>
      <c r="H30" s="169"/>
      <c r="I30" s="169"/>
      <c r="J30" s="169"/>
      <c r="K30" s="169"/>
      <c r="L30" s="169"/>
      <c r="M30" s="169"/>
      <c r="N30" s="169"/>
      <c r="O30" s="169"/>
      <c r="P30" s="169"/>
      <c r="Q30" s="169"/>
      <c r="R30" s="169"/>
      <c r="S30" s="169"/>
    </row>
    <row r="31" spans="1:19" x14ac:dyDescent="0.25">
      <c r="A31" s="169"/>
      <c r="B31" s="241"/>
      <c r="C31" s="169" t="s">
        <v>137</v>
      </c>
      <c r="D31" s="187">
        <f>D30*D15</f>
        <v>31995</v>
      </c>
      <c r="E31" s="187">
        <f>E30*E15</f>
        <v>198500</v>
      </c>
      <c r="F31" s="187">
        <f>F30*F15</f>
        <v>125474.99999999999</v>
      </c>
      <c r="G31" s="169"/>
      <c r="H31" s="169"/>
      <c r="I31" s="169"/>
      <c r="J31" s="169"/>
      <c r="K31" s="169"/>
      <c r="L31" s="169"/>
      <c r="M31" s="169"/>
      <c r="N31" s="169"/>
      <c r="O31" s="169"/>
      <c r="P31" s="169"/>
      <c r="Q31" s="169"/>
      <c r="R31" s="169"/>
      <c r="S31" s="169"/>
    </row>
    <row r="32" spans="1:19" x14ac:dyDescent="0.25">
      <c r="A32" s="169"/>
      <c r="B32" s="169"/>
      <c r="C32" s="169"/>
      <c r="D32" s="169"/>
      <c r="E32" s="169"/>
      <c r="F32" s="169"/>
      <c r="G32" s="169"/>
      <c r="H32" s="169"/>
      <c r="I32" s="169"/>
      <c r="J32" s="169"/>
      <c r="K32" s="169"/>
      <c r="L32" s="169"/>
      <c r="M32" s="169"/>
      <c r="N32" s="169"/>
      <c r="O32" s="169"/>
      <c r="P32" s="169"/>
      <c r="Q32" s="169"/>
      <c r="R32" s="169"/>
      <c r="S32" s="169"/>
    </row>
    <row r="33" spans="1:19" x14ac:dyDescent="0.25">
      <c r="A33" s="169"/>
      <c r="B33" s="169"/>
      <c r="C33" s="169"/>
      <c r="D33" s="169"/>
      <c r="E33" s="169"/>
      <c r="F33" s="169"/>
      <c r="G33" s="169"/>
      <c r="H33" s="169"/>
      <c r="I33" s="169"/>
      <c r="J33" s="169"/>
      <c r="K33" s="169"/>
      <c r="L33" s="169"/>
      <c r="M33" s="169"/>
      <c r="N33" s="169"/>
      <c r="O33" s="169"/>
      <c r="P33" s="169"/>
      <c r="Q33" s="169"/>
      <c r="R33" s="169"/>
      <c r="S33" s="169"/>
    </row>
    <row r="34" spans="1:19" x14ac:dyDescent="0.25">
      <c r="A34" s="169"/>
      <c r="B34" s="169"/>
      <c r="C34" s="169"/>
      <c r="D34" s="169"/>
      <c r="E34" s="169"/>
      <c r="F34" s="169"/>
      <c r="G34" s="169"/>
      <c r="H34" s="169"/>
      <c r="I34" s="169"/>
      <c r="J34" s="169"/>
      <c r="K34" s="169"/>
      <c r="L34" s="169"/>
      <c r="M34" s="169"/>
      <c r="N34" s="169"/>
      <c r="O34" s="169"/>
      <c r="P34" s="169"/>
      <c r="Q34" s="169"/>
      <c r="R34" s="169"/>
      <c r="S34" s="169"/>
    </row>
    <row r="35" spans="1:19" x14ac:dyDescent="0.25">
      <c r="A35" s="169"/>
      <c r="B35" s="169"/>
      <c r="C35" s="169"/>
      <c r="D35" s="169"/>
      <c r="E35" s="169"/>
      <c r="F35" s="169"/>
      <c r="G35" s="169"/>
      <c r="H35" s="169"/>
      <c r="I35" s="169"/>
      <c r="J35" s="169"/>
      <c r="K35" s="169"/>
      <c r="L35" s="169"/>
      <c r="M35" s="169"/>
      <c r="N35" s="169"/>
      <c r="O35" s="169"/>
      <c r="P35" s="169"/>
      <c r="Q35" s="169"/>
      <c r="R35" s="169"/>
      <c r="S35" s="169"/>
    </row>
    <row r="36" spans="1:19" x14ac:dyDescent="0.25">
      <c r="A36" s="169"/>
      <c r="B36" s="169"/>
      <c r="C36" s="169"/>
      <c r="D36" s="169"/>
      <c r="E36" s="169"/>
      <c r="F36" s="169"/>
      <c r="G36" s="169"/>
      <c r="H36" s="169"/>
      <c r="I36" s="169"/>
      <c r="J36" s="169"/>
      <c r="K36" s="169"/>
      <c r="L36" s="169"/>
      <c r="M36" s="169"/>
      <c r="N36" s="169"/>
      <c r="O36" s="169"/>
      <c r="P36" s="169"/>
      <c r="Q36" s="169"/>
      <c r="R36" s="169"/>
      <c r="S36" s="169"/>
    </row>
    <row r="37" spans="1:19" x14ac:dyDescent="0.25">
      <c r="A37" s="169"/>
      <c r="B37" s="169"/>
      <c r="C37" s="169"/>
      <c r="D37" s="169"/>
      <c r="E37" s="169"/>
      <c r="F37" s="169"/>
      <c r="G37" s="169"/>
      <c r="H37" s="169"/>
      <c r="I37" s="169"/>
      <c r="J37" s="169"/>
      <c r="K37" s="169"/>
      <c r="L37" s="169"/>
      <c r="M37" s="169"/>
      <c r="N37" s="169"/>
      <c r="O37" s="169"/>
      <c r="P37" s="169"/>
      <c r="Q37" s="169"/>
      <c r="R37" s="169"/>
      <c r="S37" s="169"/>
    </row>
    <row r="38" spans="1:19" x14ac:dyDescent="0.25">
      <c r="A38" s="169"/>
      <c r="B38" s="169"/>
      <c r="C38" s="169"/>
      <c r="D38" s="169"/>
      <c r="E38" s="169"/>
      <c r="F38" s="169"/>
      <c r="G38" s="169"/>
      <c r="H38" s="169"/>
      <c r="I38" s="169"/>
      <c r="J38" s="169"/>
      <c r="K38" s="169"/>
      <c r="L38" s="169"/>
      <c r="M38" s="169"/>
      <c r="N38" s="169"/>
      <c r="O38" s="169"/>
      <c r="P38" s="169"/>
      <c r="Q38" s="169"/>
      <c r="R38" s="169"/>
      <c r="S38" s="169"/>
    </row>
  </sheetData>
  <mergeCells count="8">
    <mergeCell ref="B22:B31"/>
    <mergeCell ref="B3:B4"/>
    <mergeCell ref="J5:K5"/>
    <mergeCell ref="L5:M5"/>
    <mergeCell ref="J6:K6"/>
    <mergeCell ref="L6:M6"/>
    <mergeCell ref="B12:B20"/>
    <mergeCell ref="H11:Q11"/>
  </mergeCells>
  <conditionalFormatting sqref="J8:K8">
    <cfRule type="expression" dxfId="55" priority="6">
      <formula>$E$7&lt;$E$8</formula>
    </cfRule>
    <cfRule type="expression" dxfId="54" priority="8">
      <formula>$E$7&gt;$E$8</formula>
    </cfRule>
  </conditionalFormatting>
  <conditionalFormatting sqref="J9:K9">
    <cfRule type="expression" dxfId="53" priority="3">
      <formula>$E$7&lt;$E$9</formula>
    </cfRule>
    <cfRule type="expression" dxfId="52" priority="4">
      <formula>$E$7&gt;$E$9</formula>
    </cfRule>
  </conditionalFormatting>
  <conditionalFormatting sqref="L8:M8">
    <cfRule type="expression" dxfId="51" priority="5">
      <formula>$F$7&lt;$F$8</formula>
    </cfRule>
    <cfRule type="expression" dxfId="50" priority="7">
      <formula>$F$7&gt;$F$8</formula>
    </cfRule>
  </conditionalFormatting>
  <conditionalFormatting sqref="L9:M9">
    <cfRule type="expression" dxfId="49" priority="1">
      <formula>$F$7&lt;$F$9</formula>
    </cfRule>
    <cfRule type="expression" dxfId="48" priority="2">
      <formula>$F$7&gt;$F$9</formula>
    </cfRule>
  </conditionalFormatting>
  <pageMargins left="0.25" right="0.25" top="0.75" bottom="0.75" header="0.3" footer="0.3"/>
  <pageSetup paperSize="9" scale="86" orientation="landscape"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0DCC49D-2C16-427A-9D11-FF2DFBFAE839}">
          <x14:formula1>
            <xm:f>LISTS!$B$3:$B$4</xm:f>
          </x14:formula1>
          <xm:sqref>G8:G9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7C66-90F5-4FEB-8F2E-36A162EB9C5C}">
  <sheetPr codeName="Sheet4">
    <tabColor rgb="FF00B050"/>
  </sheetPr>
  <dimension ref="A1:AL40"/>
  <sheetViews>
    <sheetView zoomScaleNormal="100" workbookViewId="0">
      <selection activeCell="P3" sqref="P3"/>
    </sheetView>
  </sheetViews>
  <sheetFormatPr defaultRowHeight="15" x14ac:dyDescent="0.25"/>
  <cols>
    <col min="1" max="1" width="2" customWidth="1"/>
    <col min="2" max="2" width="4.140625" customWidth="1"/>
    <col min="3" max="3" width="31" customWidth="1"/>
    <col min="4" max="4" width="12.42578125" customWidth="1"/>
    <col min="5" max="5" width="8.42578125" customWidth="1"/>
    <col min="6" max="8" width="15.140625" customWidth="1"/>
    <col min="9" max="9" width="11.140625" customWidth="1"/>
    <col min="10" max="10" width="8.5703125" style="1" customWidth="1"/>
    <col min="11" max="11" width="7" customWidth="1"/>
    <col min="12" max="12" width="9.140625" customWidth="1"/>
  </cols>
  <sheetData>
    <row r="1" spans="1:38" s="119" customFormat="1" ht="13.5" x14ac:dyDescent="0.25">
      <c r="A1" s="189" t="s">
        <v>145</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row>
    <row r="2" spans="1:38" s="119" customFormat="1" ht="19.5" customHeight="1" x14ac:dyDescent="0.25">
      <c r="A2" s="169"/>
      <c r="B2" s="169"/>
      <c r="C2" s="261" t="s">
        <v>139</v>
      </c>
      <c r="D2" s="261"/>
      <c r="E2" s="261"/>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row>
    <row r="3" spans="1:38" s="119" customFormat="1" ht="19.5" customHeight="1" x14ac:dyDescent="0.25">
      <c r="A3" s="169"/>
      <c r="B3" s="169"/>
      <c r="C3" s="261"/>
      <c r="D3" s="261"/>
      <c r="E3" s="261"/>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row>
    <row r="4" spans="1:38" s="119" customFormat="1" ht="13.5"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row>
    <row r="5" spans="1:38" x14ac:dyDescent="0.25">
      <c r="A5" s="69"/>
      <c r="B5" s="69"/>
      <c r="C5" s="69"/>
      <c r="D5" s="69"/>
      <c r="E5" s="69"/>
      <c r="F5" s="69"/>
      <c r="G5" s="69"/>
      <c r="H5" s="69"/>
      <c r="I5" s="69"/>
      <c r="J5" s="33"/>
      <c r="K5" s="69"/>
      <c r="L5" s="69"/>
      <c r="M5" s="69"/>
      <c r="N5" s="69"/>
    </row>
    <row r="6" spans="1:38" x14ac:dyDescent="0.25">
      <c r="A6" s="69"/>
      <c r="B6" s="69"/>
      <c r="C6" s="69"/>
      <c r="D6" s="69"/>
      <c r="E6" s="69"/>
      <c r="F6" s="69"/>
      <c r="G6" s="69"/>
      <c r="H6" s="69"/>
      <c r="I6" s="69"/>
      <c r="J6" s="33"/>
      <c r="K6" s="69"/>
      <c r="L6" s="69"/>
      <c r="M6" s="69"/>
      <c r="N6" s="69"/>
    </row>
    <row r="7" spans="1:38" x14ac:dyDescent="0.25">
      <c r="A7" s="69"/>
      <c r="B7" s="69"/>
      <c r="C7" s="69"/>
      <c r="D7" s="69"/>
      <c r="E7" s="69"/>
      <c r="F7" s="69"/>
      <c r="G7" s="69"/>
      <c r="H7" s="69"/>
      <c r="I7" s="69"/>
      <c r="J7" s="33"/>
      <c r="K7" s="69"/>
      <c r="L7" s="69"/>
      <c r="M7" s="69"/>
      <c r="N7" s="69"/>
    </row>
    <row r="8" spans="1:38" ht="15.75" thickBot="1" x14ac:dyDescent="0.3">
      <c r="A8" s="69"/>
      <c r="B8" s="69"/>
      <c r="C8" s="69"/>
      <c r="D8" s="69"/>
      <c r="E8" s="69"/>
      <c r="F8" s="69"/>
      <c r="G8" s="69"/>
      <c r="H8" s="69"/>
      <c r="I8" s="69"/>
      <c r="J8" s="33"/>
      <c r="K8" s="69"/>
      <c r="L8" s="69"/>
      <c r="M8" s="69"/>
      <c r="N8" s="69"/>
    </row>
    <row r="9" spans="1:38" x14ac:dyDescent="0.25">
      <c r="A9" s="69"/>
      <c r="B9" s="69"/>
      <c r="C9" s="17" t="s">
        <v>3</v>
      </c>
      <c r="D9" s="18"/>
      <c r="E9" s="69"/>
      <c r="F9" s="252" t="s">
        <v>99</v>
      </c>
      <c r="G9" s="253"/>
      <c r="H9" s="253"/>
      <c r="I9" s="253"/>
      <c r="J9" s="253"/>
      <c r="K9" s="253"/>
      <c r="L9" s="254"/>
      <c r="M9" s="69"/>
      <c r="N9" s="69"/>
    </row>
    <row r="10" spans="1:38" x14ac:dyDescent="0.25">
      <c r="A10" s="69"/>
      <c r="B10" s="69"/>
      <c r="C10" s="201"/>
      <c r="D10" s="201"/>
      <c r="E10" s="69"/>
      <c r="F10" s="255"/>
      <c r="G10" s="256"/>
      <c r="H10" s="256"/>
      <c r="I10" s="256"/>
      <c r="J10" s="256"/>
      <c r="K10" s="256"/>
      <c r="L10" s="257"/>
      <c r="M10" s="69"/>
      <c r="N10" s="69"/>
    </row>
    <row r="11" spans="1:38" x14ac:dyDescent="0.25">
      <c r="A11" s="69"/>
      <c r="B11" s="69"/>
      <c r="C11" s="69"/>
      <c r="D11" s="69"/>
      <c r="E11" s="69"/>
      <c r="F11" s="255"/>
      <c r="G11" s="256"/>
      <c r="H11" s="256"/>
      <c r="I11" s="256"/>
      <c r="J11" s="256"/>
      <c r="K11" s="256"/>
      <c r="L11" s="257"/>
      <c r="M11" s="69"/>
      <c r="N11" s="69"/>
    </row>
    <row r="12" spans="1:38" x14ac:dyDescent="0.25">
      <c r="A12" s="69"/>
      <c r="B12" s="69"/>
      <c r="C12" s="17" t="s">
        <v>98</v>
      </c>
      <c r="D12" s="18"/>
      <c r="E12" s="69"/>
      <c r="F12" s="255"/>
      <c r="G12" s="256"/>
      <c r="H12" s="256"/>
      <c r="I12" s="256"/>
      <c r="J12" s="256"/>
      <c r="K12" s="256"/>
      <c r="L12" s="257"/>
      <c r="M12" s="69"/>
      <c r="N12" s="69"/>
    </row>
    <row r="13" spans="1:38" x14ac:dyDescent="0.25">
      <c r="A13" s="69"/>
      <c r="B13" s="69"/>
      <c r="C13" s="202"/>
      <c r="D13" s="202"/>
      <c r="E13" s="69"/>
      <c r="F13" s="255"/>
      <c r="G13" s="256"/>
      <c r="H13" s="256"/>
      <c r="I13" s="256"/>
      <c r="J13" s="256"/>
      <c r="K13" s="256"/>
      <c r="L13" s="257"/>
      <c r="M13" s="69"/>
      <c r="N13" s="69"/>
    </row>
    <row r="14" spans="1:38" x14ac:dyDescent="0.25">
      <c r="A14" s="69"/>
      <c r="B14" s="69"/>
      <c r="C14" s="69"/>
      <c r="D14" s="69"/>
      <c r="E14" s="69"/>
      <c r="F14" s="255"/>
      <c r="G14" s="256"/>
      <c r="H14" s="256"/>
      <c r="I14" s="256"/>
      <c r="J14" s="256"/>
      <c r="K14" s="256"/>
      <c r="L14" s="257"/>
      <c r="M14" s="69"/>
      <c r="N14" s="69"/>
    </row>
    <row r="15" spans="1:38" x14ac:dyDescent="0.25">
      <c r="A15" s="69"/>
      <c r="B15" s="69"/>
      <c r="C15" s="17" t="s">
        <v>5</v>
      </c>
      <c r="D15" s="17" t="s">
        <v>7</v>
      </c>
      <c r="E15" s="69"/>
      <c r="F15" s="255"/>
      <c r="G15" s="256"/>
      <c r="H15" s="256"/>
      <c r="I15" s="256"/>
      <c r="J15" s="256"/>
      <c r="K15" s="256"/>
      <c r="L15" s="257"/>
      <c r="M15" s="69"/>
      <c r="N15" s="69"/>
    </row>
    <row r="16" spans="1:38" ht="15" customHeight="1" x14ac:dyDescent="0.25">
      <c r="A16" s="69"/>
      <c r="B16" s="69"/>
      <c r="C16" s="14"/>
      <c r="D16" s="14"/>
      <c r="E16" s="69"/>
      <c r="F16" s="255"/>
      <c r="G16" s="256"/>
      <c r="H16" s="256"/>
      <c r="I16" s="256"/>
      <c r="J16" s="256"/>
      <c r="K16" s="256"/>
      <c r="L16" s="257"/>
      <c r="M16" s="69"/>
      <c r="N16" s="69"/>
    </row>
    <row r="17" spans="1:14" x14ac:dyDescent="0.25">
      <c r="A17" s="69"/>
      <c r="B17" s="69"/>
      <c r="C17" s="69"/>
      <c r="D17" s="69"/>
      <c r="E17" s="69"/>
      <c r="F17" s="255"/>
      <c r="G17" s="256"/>
      <c r="H17" s="256"/>
      <c r="I17" s="256"/>
      <c r="J17" s="256"/>
      <c r="K17" s="256"/>
      <c r="L17" s="257"/>
      <c r="M17" s="69"/>
      <c r="N17" s="69"/>
    </row>
    <row r="18" spans="1:14" x14ac:dyDescent="0.25">
      <c r="A18" s="69"/>
      <c r="B18" s="69"/>
      <c r="C18" s="17" t="s">
        <v>9</v>
      </c>
      <c r="D18" s="18"/>
      <c r="E18" s="69"/>
      <c r="F18" s="255"/>
      <c r="G18" s="256"/>
      <c r="H18" s="256"/>
      <c r="I18" s="256"/>
      <c r="J18" s="256"/>
      <c r="K18" s="256"/>
      <c r="L18" s="257"/>
      <c r="M18" s="69"/>
      <c r="N18" s="69"/>
    </row>
    <row r="19" spans="1:14" ht="15.75" thickBot="1" x14ac:dyDescent="0.3">
      <c r="A19" s="69"/>
      <c r="B19" s="69"/>
      <c r="C19" s="19"/>
      <c r="D19" s="14"/>
      <c r="E19" s="69"/>
      <c r="F19" s="258"/>
      <c r="G19" s="259"/>
      <c r="H19" s="259"/>
      <c r="I19" s="259"/>
      <c r="J19" s="259"/>
      <c r="K19" s="259"/>
      <c r="L19" s="260"/>
      <c r="M19" s="69"/>
      <c r="N19" s="69"/>
    </row>
    <row r="20" spans="1:14" x14ac:dyDescent="0.25">
      <c r="A20" s="69"/>
      <c r="B20" s="69"/>
      <c r="C20" s="69"/>
      <c r="D20" s="69"/>
      <c r="E20" s="69"/>
      <c r="F20" s="69"/>
      <c r="G20" s="69"/>
      <c r="H20" s="69"/>
      <c r="I20" s="69"/>
      <c r="J20" s="33"/>
      <c r="K20" s="69"/>
      <c r="L20" s="69"/>
      <c r="M20" s="69"/>
      <c r="N20" s="69"/>
    </row>
    <row r="21" spans="1:14" x14ac:dyDescent="0.25">
      <c r="A21" s="69"/>
      <c r="B21" s="69"/>
      <c r="C21" s="22"/>
      <c r="D21" s="22"/>
      <c r="E21" s="20" t="s">
        <v>13</v>
      </c>
      <c r="F21" s="20" t="s">
        <v>12</v>
      </c>
      <c r="G21" s="20" t="s">
        <v>15</v>
      </c>
      <c r="H21" s="20" t="s">
        <v>15</v>
      </c>
      <c r="I21" s="20" t="s">
        <v>15</v>
      </c>
      <c r="J21" s="22"/>
      <c r="K21" s="25"/>
      <c r="L21" s="20" t="s">
        <v>33</v>
      </c>
      <c r="M21" s="20" t="s">
        <v>53</v>
      </c>
      <c r="N21" s="69"/>
    </row>
    <row r="22" spans="1:14" x14ac:dyDescent="0.25">
      <c r="A22" s="69"/>
      <c r="B22" s="69"/>
      <c r="C22" s="21" t="s">
        <v>2</v>
      </c>
      <c r="D22" s="21" t="s">
        <v>4</v>
      </c>
      <c r="E22" s="21" t="s">
        <v>96</v>
      </c>
      <c r="F22" s="21" t="s">
        <v>13</v>
      </c>
      <c r="G22" s="21" t="s">
        <v>14</v>
      </c>
      <c r="H22" s="21" t="s">
        <v>36</v>
      </c>
      <c r="I22" s="21" t="s">
        <v>30</v>
      </c>
      <c r="J22" s="21" t="s">
        <v>27</v>
      </c>
      <c r="K22" s="31" t="s">
        <v>38</v>
      </c>
      <c r="L22" s="21" t="s">
        <v>34</v>
      </c>
      <c r="M22" s="21" t="s">
        <v>83</v>
      </c>
      <c r="N22" s="69"/>
    </row>
    <row r="23" spans="1:14" x14ac:dyDescent="0.25">
      <c r="A23" s="69"/>
      <c r="B23" s="23" t="s">
        <v>16</v>
      </c>
      <c r="C23" s="7"/>
      <c r="D23" s="9"/>
      <c r="E23" s="104"/>
      <c r="F23" s="10"/>
      <c r="G23" s="10"/>
      <c r="H23" s="10"/>
      <c r="I23" s="10"/>
      <c r="J23" s="26"/>
      <c r="K23" s="24"/>
      <c r="L23" s="28" t="str">
        <f t="shared" ref="L23:L28" si="0">IFERROR((J23/D23),"")</f>
        <v/>
      </c>
      <c r="M23" s="62">
        <f t="shared" ref="M23:M28" si="1">F23*D23</f>
        <v>0</v>
      </c>
      <c r="N23" s="69"/>
    </row>
    <row r="24" spans="1:14" x14ac:dyDescent="0.25">
      <c r="A24" s="69"/>
      <c r="B24" s="23" t="s">
        <v>17</v>
      </c>
      <c r="C24" s="7"/>
      <c r="D24" s="9"/>
      <c r="E24" s="104"/>
      <c r="F24" s="10"/>
      <c r="G24" s="10"/>
      <c r="H24" s="10"/>
      <c r="I24" s="10"/>
      <c r="J24" s="26"/>
      <c r="K24" s="15"/>
      <c r="L24" s="29" t="str">
        <f t="shared" si="0"/>
        <v/>
      </c>
      <c r="M24" s="63">
        <f t="shared" si="1"/>
        <v>0</v>
      </c>
      <c r="N24" s="69"/>
    </row>
    <row r="25" spans="1:14" x14ac:dyDescent="0.25">
      <c r="A25" s="69"/>
      <c r="B25" s="23" t="s">
        <v>18</v>
      </c>
      <c r="C25" s="7"/>
      <c r="D25" s="9"/>
      <c r="E25" s="11"/>
      <c r="F25" s="10"/>
      <c r="G25" s="10"/>
      <c r="H25" s="10"/>
      <c r="I25" s="10"/>
      <c r="J25" s="26"/>
      <c r="K25" s="15"/>
      <c r="L25" s="29" t="str">
        <f t="shared" si="0"/>
        <v/>
      </c>
      <c r="M25" s="63">
        <f t="shared" si="1"/>
        <v>0</v>
      </c>
      <c r="N25" s="69"/>
    </row>
    <row r="26" spans="1:14" x14ac:dyDescent="0.25">
      <c r="A26" s="69"/>
      <c r="B26" s="23" t="s">
        <v>19</v>
      </c>
      <c r="C26" s="7"/>
      <c r="D26" s="9"/>
      <c r="E26" s="11"/>
      <c r="F26" s="10"/>
      <c r="G26" s="10"/>
      <c r="H26" s="10"/>
      <c r="I26" s="10"/>
      <c r="J26" s="26"/>
      <c r="K26" s="15"/>
      <c r="L26" s="29" t="str">
        <f t="shared" si="0"/>
        <v/>
      </c>
      <c r="M26" s="63">
        <f t="shared" si="1"/>
        <v>0</v>
      </c>
      <c r="N26" s="69"/>
    </row>
    <row r="27" spans="1:14" x14ac:dyDescent="0.25">
      <c r="A27" s="69"/>
      <c r="B27" s="23" t="s">
        <v>20</v>
      </c>
      <c r="C27" s="7"/>
      <c r="D27" s="9"/>
      <c r="E27" s="11"/>
      <c r="F27" s="10"/>
      <c r="G27" s="10"/>
      <c r="H27" s="10"/>
      <c r="I27" s="10"/>
      <c r="J27" s="26"/>
      <c r="K27" s="15"/>
      <c r="L27" s="29" t="str">
        <f t="shared" si="0"/>
        <v/>
      </c>
      <c r="M27" s="63">
        <f t="shared" si="1"/>
        <v>0</v>
      </c>
      <c r="N27" s="69"/>
    </row>
    <row r="28" spans="1:14" x14ac:dyDescent="0.25">
      <c r="A28" s="69"/>
      <c r="B28" s="23" t="s">
        <v>21</v>
      </c>
      <c r="C28" s="8"/>
      <c r="D28" s="113"/>
      <c r="E28" s="12"/>
      <c r="F28" s="10"/>
      <c r="G28" s="10"/>
      <c r="H28" s="10"/>
      <c r="I28" s="10"/>
      <c r="J28" s="27"/>
      <c r="K28" s="16"/>
      <c r="L28" s="30" t="str">
        <f t="shared" si="0"/>
        <v/>
      </c>
      <c r="M28" s="64">
        <f t="shared" si="1"/>
        <v>0</v>
      </c>
      <c r="N28" s="69"/>
    </row>
    <row r="29" spans="1:14" x14ac:dyDescent="0.25">
      <c r="A29" s="69"/>
      <c r="B29" s="92"/>
      <c r="C29" s="2" t="s">
        <v>22</v>
      </c>
      <c r="D29" s="13"/>
      <c r="E29" s="13"/>
      <c r="F29" s="68">
        <f>SUM(F23:F28)</f>
        <v>0</v>
      </c>
      <c r="G29" s="68">
        <f>SUM(G23:G28)</f>
        <v>0</v>
      </c>
      <c r="H29" s="68">
        <f>SUM(H23:H28)</f>
        <v>0</v>
      </c>
      <c r="I29" s="68">
        <f>SUM(I23:I28)</f>
        <v>0</v>
      </c>
      <c r="J29" s="69"/>
      <c r="K29" s="33"/>
      <c r="L29" s="69"/>
      <c r="M29" s="68">
        <f>SUM(M23:M28)</f>
        <v>0</v>
      </c>
      <c r="N29" s="69"/>
    </row>
    <row r="30" spans="1:14" x14ac:dyDescent="0.25">
      <c r="A30" s="69"/>
      <c r="B30" s="92"/>
      <c r="C30" s="2" t="s">
        <v>32</v>
      </c>
      <c r="D30" s="13"/>
      <c r="E30" s="13"/>
      <c r="F30" s="70" t="str">
        <f>IFERROR(F29/$F$29,"")</f>
        <v/>
      </c>
      <c r="G30" s="70" t="str">
        <f>IFERROR(G29/$F$29,"")</f>
        <v/>
      </c>
      <c r="H30" s="70" t="str">
        <f>IFERROR(H29/$F$29,"")</f>
        <v/>
      </c>
      <c r="I30" s="70" t="str">
        <f>IFERROR(I29/$F$29,"")</f>
        <v/>
      </c>
      <c r="J30" s="69"/>
      <c r="K30" s="33"/>
      <c r="L30" s="69"/>
      <c r="M30" s="69"/>
      <c r="N30" s="69"/>
    </row>
    <row r="31" spans="1:14" x14ac:dyDescent="0.25">
      <c r="A31" s="69"/>
      <c r="B31" s="69"/>
      <c r="C31" s="69"/>
      <c r="D31" s="69"/>
      <c r="E31" s="69"/>
      <c r="F31" s="69"/>
      <c r="G31" s="69"/>
      <c r="H31" s="69"/>
      <c r="I31" s="69"/>
      <c r="J31" s="33"/>
      <c r="K31" s="69"/>
      <c r="L31" s="69"/>
      <c r="M31" s="69"/>
      <c r="N31" s="69"/>
    </row>
    <row r="32" spans="1:14" x14ac:dyDescent="0.25">
      <c r="A32" s="69"/>
      <c r="B32" s="69"/>
      <c r="C32" s="99" t="s">
        <v>24</v>
      </c>
      <c r="D32" s="100"/>
      <c r="E32" s="103"/>
      <c r="F32" s="69"/>
      <c r="G32" s="69"/>
      <c r="H32" s="69"/>
      <c r="I32" s="69"/>
      <c r="J32" s="33"/>
      <c r="K32" s="69"/>
      <c r="L32" s="69"/>
      <c r="M32" s="69"/>
      <c r="N32" s="69"/>
    </row>
    <row r="33" spans="1:14" x14ac:dyDescent="0.25">
      <c r="A33" s="69"/>
      <c r="B33" s="69"/>
      <c r="C33" s="95" t="s">
        <v>23</v>
      </c>
      <c r="D33" s="14"/>
      <c r="E33" s="101" t="str">
        <f>IFERROR((G29/52)/D33,"")</f>
        <v/>
      </c>
      <c r="F33" s="93" t="s">
        <v>26</v>
      </c>
      <c r="G33" s="94"/>
      <c r="H33" s="69"/>
      <c r="I33" s="69"/>
      <c r="J33" s="33"/>
      <c r="K33" s="69"/>
      <c r="L33" s="69"/>
      <c r="M33" s="69"/>
      <c r="N33" s="69"/>
    </row>
    <row r="34" spans="1:14" x14ac:dyDescent="0.25">
      <c r="A34" s="69"/>
      <c r="B34" s="69"/>
      <c r="C34" s="96" t="s">
        <v>37</v>
      </c>
      <c r="D34" s="14"/>
      <c r="E34" s="101" t="str">
        <f>IFERROR((H29/52)/D34,"")</f>
        <v/>
      </c>
      <c r="F34" s="93" t="s">
        <v>26</v>
      </c>
      <c r="G34" s="94"/>
      <c r="H34" s="69"/>
      <c r="I34" s="69"/>
      <c r="J34" s="33"/>
      <c r="K34" s="69"/>
      <c r="L34" s="69"/>
      <c r="M34" s="69"/>
      <c r="N34" s="69"/>
    </row>
    <row r="35" spans="1:14" x14ac:dyDescent="0.25">
      <c r="A35" s="69"/>
      <c r="B35" s="69"/>
      <c r="C35" s="97" t="s">
        <v>25</v>
      </c>
      <c r="D35" s="98" t="s">
        <v>29</v>
      </c>
      <c r="E35" s="102">
        <f>I29/52</f>
        <v>0</v>
      </c>
      <c r="F35" s="93" t="s">
        <v>31</v>
      </c>
      <c r="G35" s="94"/>
      <c r="H35" s="69"/>
      <c r="I35" s="69"/>
      <c r="J35" s="33"/>
      <c r="K35" s="69"/>
      <c r="L35" s="69"/>
      <c r="M35" s="69"/>
      <c r="N35" s="69"/>
    </row>
    <row r="36" spans="1:14" x14ac:dyDescent="0.25">
      <c r="A36" s="69"/>
      <c r="B36" s="69"/>
      <c r="C36" s="69"/>
      <c r="D36" s="69"/>
      <c r="E36" s="69"/>
      <c r="F36" s="69"/>
      <c r="G36" s="69"/>
      <c r="H36" s="69"/>
      <c r="I36" s="69"/>
      <c r="J36" s="33"/>
      <c r="K36" s="69"/>
      <c r="L36" s="69"/>
      <c r="M36" s="69"/>
      <c r="N36" s="69"/>
    </row>
    <row r="37" spans="1:14" x14ac:dyDescent="0.25">
      <c r="A37" s="69"/>
      <c r="B37" s="69"/>
      <c r="C37" s="69"/>
      <c r="D37" s="69"/>
      <c r="E37" s="69"/>
      <c r="F37" s="69"/>
      <c r="G37" s="69"/>
      <c r="H37" s="69"/>
      <c r="I37" s="69"/>
      <c r="J37" s="33"/>
      <c r="K37" s="69"/>
      <c r="L37" s="69"/>
      <c r="M37" s="69"/>
      <c r="N37" s="69"/>
    </row>
    <row r="38" spans="1:14" x14ac:dyDescent="0.25">
      <c r="A38" s="69"/>
      <c r="B38" s="69"/>
      <c r="C38" s="69"/>
      <c r="D38" s="69"/>
      <c r="E38" s="69"/>
      <c r="F38" s="69"/>
      <c r="G38" s="69"/>
      <c r="H38" s="69"/>
      <c r="I38" s="69"/>
      <c r="J38" s="33"/>
      <c r="K38" s="69"/>
      <c r="L38" s="69"/>
      <c r="M38" s="69"/>
      <c r="N38" s="69"/>
    </row>
    <row r="39" spans="1:14" x14ac:dyDescent="0.25">
      <c r="A39" s="69"/>
      <c r="B39" s="69"/>
      <c r="C39" s="69"/>
      <c r="D39" s="69"/>
      <c r="E39" s="69"/>
      <c r="F39" s="69"/>
      <c r="G39" s="69"/>
      <c r="H39" s="69"/>
      <c r="I39" s="69"/>
      <c r="J39" s="33"/>
      <c r="K39" s="69"/>
      <c r="L39" s="69"/>
      <c r="M39" s="69"/>
      <c r="N39" s="69"/>
    </row>
    <row r="40" spans="1:14" x14ac:dyDescent="0.25">
      <c r="A40" s="69"/>
      <c r="B40" s="69"/>
      <c r="C40" s="69"/>
      <c r="D40" s="69"/>
      <c r="E40" s="69"/>
      <c r="F40" s="69"/>
      <c r="G40" s="69"/>
      <c r="H40" s="69"/>
      <c r="I40" s="69"/>
      <c r="J40" s="33"/>
      <c r="K40" s="69"/>
      <c r="L40" s="69"/>
      <c r="M40" s="69"/>
      <c r="N40" s="69"/>
    </row>
  </sheetData>
  <mergeCells count="4">
    <mergeCell ref="C10:D10"/>
    <mergeCell ref="C13:D13"/>
    <mergeCell ref="F9:L19"/>
    <mergeCell ref="C2:E3"/>
  </mergeCells>
  <phoneticPr fontId="5" type="noConversion"/>
  <pageMargins left="0.25" right="0.25" top="0.75" bottom="0.75" header="0.3" footer="0.3"/>
  <pageSetup paperSize="9" scale="85" orientation="landscape" horizontalDpi="300" verticalDpi="300" r:id="rId1"/>
  <rowBreaks count="1" manualBreakCount="1">
    <brk id="37" max="16383" man="1"/>
  </rowBreaks>
  <colBreaks count="1" manualBreakCount="1">
    <brk id="14" max="39" man="1"/>
  </colBreaks>
  <ignoredErrors>
    <ignoredError sqref="B23:B28" numberStoredAsText="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BBFA680-3166-419A-A9AA-B233CB54D6B3}">
          <x14:formula1>
            <xm:f>LISTS!$B$2:$B$4</xm:f>
          </x14:formula1>
          <xm:sqref>K23:K28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6582-2E67-42F3-99B8-A3CE74DE589A}">
  <sheetPr codeName="Sheet5">
    <tabColor rgb="FFC00000"/>
  </sheetPr>
  <dimension ref="B1:O62"/>
  <sheetViews>
    <sheetView topLeftCell="A33" workbookViewId="0">
      <selection activeCell="C56" sqref="C56:H56"/>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VOLUME'!C23</f>
        <v>0</v>
      </c>
      <c r="C6" s="226"/>
      <c r="D6" s="227"/>
      <c r="E6" s="228">
        <f>'PRODUCTS &amp; VOLUME'!D23</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VOLUME'!E23</f>
        <v>0</v>
      </c>
      <c r="H62" s="81" t="str">
        <f>IFERROR(G61/G62,"")</f>
        <v/>
      </c>
      <c r="I62" s="87" t="str">
        <f>IFERROR($G$60/H62,"")</f>
        <v/>
      </c>
    </row>
  </sheetData>
  <mergeCells count="59">
    <mergeCell ref="C13:G13"/>
    <mergeCell ref="B8:G8"/>
    <mergeCell ref="E5:F5"/>
    <mergeCell ref="G5:H5"/>
    <mergeCell ref="B5:D5"/>
    <mergeCell ref="B3:O3"/>
    <mergeCell ref="B2:O2"/>
    <mergeCell ref="C9:G9"/>
    <mergeCell ref="C10:G10"/>
    <mergeCell ref="C11:G11"/>
    <mergeCell ref="B29:G29"/>
    <mergeCell ref="C20:G20"/>
    <mergeCell ref="B6:D6"/>
    <mergeCell ref="E6:F6"/>
    <mergeCell ref="G6:H6"/>
    <mergeCell ref="C26:G26"/>
    <mergeCell ref="C27:G27"/>
    <mergeCell ref="C28:G28"/>
    <mergeCell ref="C19:G19"/>
    <mergeCell ref="C21:G21"/>
    <mergeCell ref="C22:G22"/>
    <mergeCell ref="C23:G23"/>
    <mergeCell ref="C24:G24"/>
    <mergeCell ref="C25:G25"/>
    <mergeCell ref="C14:G14"/>
    <mergeCell ref="C15:G15"/>
    <mergeCell ref="C41:G41"/>
    <mergeCell ref="B31:G31"/>
    <mergeCell ref="C32:G32"/>
    <mergeCell ref="C33:G33"/>
    <mergeCell ref="C34:G34"/>
    <mergeCell ref="B39:G39"/>
    <mergeCell ref="C40:G40"/>
    <mergeCell ref="B57:F57"/>
    <mergeCell ref="C46:H46"/>
    <mergeCell ref="C47:H47"/>
    <mergeCell ref="C48:H48"/>
    <mergeCell ref="C49:H49"/>
    <mergeCell ref="C50:H50"/>
    <mergeCell ref="C51:H51"/>
    <mergeCell ref="C52:H52"/>
    <mergeCell ref="C53:H53"/>
    <mergeCell ref="C54:H54"/>
    <mergeCell ref="B62:F62"/>
    <mergeCell ref="J29:K29"/>
    <mergeCell ref="I5:J5"/>
    <mergeCell ref="I6:J6"/>
    <mergeCell ref="C55:H55"/>
    <mergeCell ref="B60:F60"/>
    <mergeCell ref="G60:H60"/>
    <mergeCell ref="B36:F36"/>
    <mergeCell ref="B42:F42"/>
    <mergeCell ref="B58:F58"/>
    <mergeCell ref="B61:F61"/>
    <mergeCell ref="G61:H61"/>
    <mergeCell ref="C56:H56"/>
    <mergeCell ref="B45:H45"/>
    <mergeCell ref="B44:F44"/>
    <mergeCell ref="G44:H4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E219-176A-46CA-B4F2-92A347CC6E18}">
  <sheetPr codeName="Sheet6">
    <tabColor rgb="FFC00000"/>
  </sheetPr>
  <dimension ref="B1:O62"/>
  <sheetViews>
    <sheetView topLeftCell="A33" workbookViewId="0">
      <selection activeCell="C56" sqref="C56:H56"/>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VOLUME'!C24</f>
        <v>0</v>
      </c>
      <c r="C6" s="226"/>
      <c r="D6" s="227"/>
      <c r="E6" s="228">
        <f>'PRODUCTS &amp; VOLUME'!D24</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VOLUME'!E24</f>
        <v>0</v>
      </c>
      <c r="H62" s="81" t="str">
        <f>IFERROR(G61/G62,"")</f>
        <v/>
      </c>
      <c r="I62" s="87" t="str">
        <f>IFERROR($G$60/H62,"")</f>
        <v/>
      </c>
    </row>
  </sheetData>
  <mergeCells count="59">
    <mergeCell ref="B6:D6"/>
    <mergeCell ref="E6:F6"/>
    <mergeCell ref="G6:H6"/>
    <mergeCell ref="I5:J5"/>
    <mergeCell ref="I6:J6"/>
    <mergeCell ref="B2:O2"/>
    <mergeCell ref="B3:O3"/>
    <mergeCell ref="B5:D5"/>
    <mergeCell ref="E5:F5"/>
    <mergeCell ref="G5:H5"/>
    <mergeCell ref="C23:G23"/>
    <mergeCell ref="B8:G8"/>
    <mergeCell ref="C9:G9"/>
    <mergeCell ref="C10:G10"/>
    <mergeCell ref="C11:G11"/>
    <mergeCell ref="C13:G13"/>
    <mergeCell ref="C14:G14"/>
    <mergeCell ref="C15:G15"/>
    <mergeCell ref="C19:G19"/>
    <mergeCell ref="C20:G20"/>
    <mergeCell ref="C21:G21"/>
    <mergeCell ref="C22:G22"/>
    <mergeCell ref="B36:F36"/>
    <mergeCell ref="C24:G24"/>
    <mergeCell ref="C25:G25"/>
    <mergeCell ref="C26:G26"/>
    <mergeCell ref="C27:G27"/>
    <mergeCell ref="C28:G28"/>
    <mergeCell ref="B29:G29"/>
    <mergeCell ref="J29:K29"/>
    <mergeCell ref="B31:G31"/>
    <mergeCell ref="C32:G32"/>
    <mergeCell ref="C33:G33"/>
    <mergeCell ref="C34:G34"/>
    <mergeCell ref="C50:H50"/>
    <mergeCell ref="B39:G39"/>
    <mergeCell ref="C40:G40"/>
    <mergeCell ref="C41:G41"/>
    <mergeCell ref="B42:F42"/>
    <mergeCell ref="B44:F44"/>
    <mergeCell ref="G44:H44"/>
    <mergeCell ref="B45:H45"/>
    <mergeCell ref="C46:H46"/>
    <mergeCell ref="C47:H47"/>
    <mergeCell ref="C48:H48"/>
    <mergeCell ref="C49:H49"/>
    <mergeCell ref="B62:F62"/>
    <mergeCell ref="C51:H51"/>
    <mergeCell ref="C52:H52"/>
    <mergeCell ref="C53:H53"/>
    <mergeCell ref="C54:H54"/>
    <mergeCell ref="C56:H56"/>
    <mergeCell ref="B57:F57"/>
    <mergeCell ref="C55:H55"/>
    <mergeCell ref="B58:F58"/>
    <mergeCell ref="B60:F60"/>
    <mergeCell ref="G60:H60"/>
    <mergeCell ref="B61:F61"/>
    <mergeCell ref="G61:H6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1D977-4704-4584-BDD4-C39628081BDF}">
  <sheetPr codeName="Sheet7">
    <tabColor rgb="FFC00000"/>
  </sheetPr>
  <dimension ref="B1:O62"/>
  <sheetViews>
    <sheetView topLeftCell="A29" workbookViewId="0">
      <selection activeCell="C56" sqref="C56:H56"/>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VOLUME'!C25</f>
        <v>0</v>
      </c>
      <c r="C6" s="226"/>
      <c r="D6" s="227"/>
      <c r="E6" s="228">
        <f>'PRODUCTS &amp; VOLUME'!D25</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VOLUME'!E25</f>
        <v>0</v>
      </c>
      <c r="H62" s="81" t="str">
        <f>IFERROR(G61/G62,"")</f>
        <v/>
      </c>
      <c r="I62" s="87" t="str">
        <f>IFERROR($G$60/H62,"")</f>
        <v/>
      </c>
    </row>
  </sheetData>
  <mergeCells count="59">
    <mergeCell ref="B2:O2"/>
    <mergeCell ref="B3:O3"/>
    <mergeCell ref="B5:D5"/>
    <mergeCell ref="E5:F5"/>
    <mergeCell ref="G5:H5"/>
    <mergeCell ref="I5:J5"/>
    <mergeCell ref="C19:G19"/>
    <mergeCell ref="B6:D6"/>
    <mergeCell ref="E6:F6"/>
    <mergeCell ref="G6:H6"/>
    <mergeCell ref="I6:J6"/>
    <mergeCell ref="B8:G8"/>
    <mergeCell ref="C9:G9"/>
    <mergeCell ref="C10:G10"/>
    <mergeCell ref="C11:G11"/>
    <mergeCell ref="C13:G13"/>
    <mergeCell ref="C14:G14"/>
    <mergeCell ref="C15:G15"/>
    <mergeCell ref="J29:K29"/>
    <mergeCell ref="B31:G31"/>
    <mergeCell ref="C20:G20"/>
    <mergeCell ref="C21:G21"/>
    <mergeCell ref="C22:G22"/>
    <mergeCell ref="C23:G23"/>
    <mergeCell ref="C24:G24"/>
    <mergeCell ref="C25:G25"/>
    <mergeCell ref="C40:G40"/>
    <mergeCell ref="C26:G26"/>
    <mergeCell ref="C27:G27"/>
    <mergeCell ref="C28:G28"/>
    <mergeCell ref="B29:G29"/>
    <mergeCell ref="C32:G32"/>
    <mergeCell ref="C33:G33"/>
    <mergeCell ref="C34:G34"/>
    <mergeCell ref="B36:F36"/>
    <mergeCell ref="B39:G39"/>
    <mergeCell ref="C52:H52"/>
    <mergeCell ref="C41:G41"/>
    <mergeCell ref="B42:F42"/>
    <mergeCell ref="B44:F44"/>
    <mergeCell ref="G44:H44"/>
    <mergeCell ref="B45:H45"/>
    <mergeCell ref="C46:H46"/>
    <mergeCell ref="C47:H47"/>
    <mergeCell ref="C48:H48"/>
    <mergeCell ref="C49:H49"/>
    <mergeCell ref="C50:H50"/>
    <mergeCell ref="C51:H51"/>
    <mergeCell ref="B61:F61"/>
    <mergeCell ref="G61:H61"/>
    <mergeCell ref="B62:F62"/>
    <mergeCell ref="C55:H55"/>
    <mergeCell ref="C53:H53"/>
    <mergeCell ref="C54:H54"/>
    <mergeCell ref="C56:H56"/>
    <mergeCell ref="B57:F57"/>
    <mergeCell ref="B58:F58"/>
    <mergeCell ref="B60:F60"/>
    <mergeCell ref="G60:H60"/>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81A2-5DE3-4CD7-9FF0-989E830FCC4D}">
  <sheetPr codeName="Sheet8">
    <tabColor rgb="FFC00000"/>
  </sheetPr>
  <dimension ref="B1:O62"/>
  <sheetViews>
    <sheetView topLeftCell="A39" workbookViewId="0">
      <selection activeCell="C56" sqref="C56:H56"/>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VOLUME'!C26</f>
        <v>0</v>
      </c>
      <c r="C6" s="226"/>
      <c r="D6" s="227"/>
      <c r="E6" s="228">
        <f>'PRODUCTS &amp; VOLUME'!D26</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VOLUME'!E26</f>
        <v>0</v>
      </c>
      <c r="H62" s="81" t="str">
        <f>IFERROR(G61/G62,"")</f>
        <v/>
      </c>
      <c r="I62" s="87" t="str">
        <f>IFERROR($G$60/H62,"")</f>
        <v/>
      </c>
    </row>
  </sheetData>
  <mergeCells count="59">
    <mergeCell ref="B2:O2"/>
    <mergeCell ref="B3:O3"/>
    <mergeCell ref="B5:D5"/>
    <mergeCell ref="E5:F5"/>
    <mergeCell ref="G5:H5"/>
    <mergeCell ref="I5:J5"/>
    <mergeCell ref="C19:G19"/>
    <mergeCell ref="B6:D6"/>
    <mergeCell ref="E6:F6"/>
    <mergeCell ref="G6:H6"/>
    <mergeCell ref="I6:J6"/>
    <mergeCell ref="B8:G8"/>
    <mergeCell ref="C9:G9"/>
    <mergeCell ref="C10:G10"/>
    <mergeCell ref="C11:G11"/>
    <mergeCell ref="C13:G13"/>
    <mergeCell ref="C14:G14"/>
    <mergeCell ref="C15:G15"/>
    <mergeCell ref="J29:K29"/>
    <mergeCell ref="B31:G31"/>
    <mergeCell ref="C20:G20"/>
    <mergeCell ref="C21:G21"/>
    <mergeCell ref="C22:G22"/>
    <mergeCell ref="C23:G23"/>
    <mergeCell ref="C24:G24"/>
    <mergeCell ref="C25:G25"/>
    <mergeCell ref="C40:G40"/>
    <mergeCell ref="C26:G26"/>
    <mergeCell ref="C27:G27"/>
    <mergeCell ref="C28:G28"/>
    <mergeCell ref="B29:G29"/>
    <mergeCell ref="C32:G32"/>
    <mergeCell ref="C33:G33"/>
    <mergeCell ref="C34:G34"/>
    <mergeCell ref="B36:F36"/>
    <mergeCell ref="B39:G39"/>
    <mergeCell ref="C52:H52"/>
    <mergeCell ref="C41:G41"/>
    <mergeCell ref="B42:F42"/>
    <mergeCell ref="B44:F44"/>
    <mergeCell ref="G44:H44"/>
    <mergeCell ref="B45:H45"/>
    <mergeCell ref="C46:H46"/>
    <mergeCell ref="C47:H47"/>
    <mergeCell ref="C48:H48"/>
    <mergeCell ref="C49:H49"/>
    <mergeCell ref="C50:H50"/>
    <mergeCell ref="C51:H51"/>
    <mergeCell ref="B61:F61"/>
    <mergeCell ref="G61:H61"/>
    <mergeCell ref="B62:F62"/>
    <mergeCell ref="C55:H55"/>
    <mergeCell ref="C53:H53"/>
    <mergeCell ref="C54:H54"/>
    <mergeCell ref="C56:H56"/>
    <mergeCell ref="B57:F57"/>
    <mergeCell ref="B58:F58"/>
    <mergeCell ref="B60:F60"/>
    <mergeCell ref="G60:H60"/>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E0B2-20A0-465E-AA38-9BD2E16A0F55}">
  <sheetPr codeName="Sheet9">
    <tabColor rgb="FFC00000"/>
  </sheetPr>
  <dimension ref="B1:O62"/>
  <sheetViews>
    <sheetView topLeftCell="A29" workbookViewId="0">
      <selection activeCell="C56" sqref="C56:H56"/>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VOLUME'!C27</f>
        <v>0</v>
      </c>
      <c r="C6" s="226"/>
      <c r="D6" s="227"/>
      <c r="E6" s="228">
        <f>'PRODUCTS &amp; VOLUME'!D27</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VOLUME'!E27</f>
        <v>0</v>
      </c>
      <c r="H62" s="81" t="str">
        <f>IFERROR(G61/G62,"")</f>
        <v/>
      </c>
      <c r="I62" s="87" t="str">
        <f>IFERROR($G$60/H62,"")</f>
        <v/>
      </c>
    </row>
  </sheetData>
  <mergeCells count="59">
    <mergeCell ref="B2:O2"/>
    <mergeCell ref="B3:O3"/>
    <mergeCell ref="B5:D5"/>
    <mergeCell ref="E5:F5"/>
    <mergeCell ref="G5:H5"/>
    <mergeCell ref="I5:J5"/>
    <mergeCell ref="C19:G19"/>
    <mergeCell ref="B6:D6"/>
    <mergeCell ref="E6:F6"/>
    <mergeCell ref="G6:H6"/>
    <mergeCell ref="I6:J6"/>
    <mergeCell ref="B8:G8"/>
    <mergeCell ref="C9:G9"/>
    <mergeCell ref="C10:G10"/>
    <mergeCell ref="C11:G11"/>
    <mergeCell ref="C13:G13"/>
    <mergeCell ref="C14:G14"/>
    <mergeCell ref="C15:G15"/>
    <mergeCell ref="J29:K29"/>
    <mergeCell ref="B31:G31"/>
    <mergeCell ref="C20:G20"/>
    <mergeCell ref="C21:G21"/>
    <mergeCell ref="C22:G22"/>
    <mergeCell ref="C23:G23"/>
    <mergeCell ref="C24:G24"/>
    <mergeCell ref="C25:G25"/>
    <mergeCell ref="C40:G40"/>
    <mergeCell ref="C26:G26"/>
    <mergeCell ref="C27:G27"/>
    <mergeCell ref="C28:G28"/>
    <mergeCell ref="B29:G29"/>
    <mergeCell ref="C32:G32"/>
    <mergeCell ref="C33:G33"/>
    <mergeCell ref="C34:G34"/>
    <mergeCell ref="B36:F36"/>
    <mergeCell ref="B39:G39"/>
    <mergeCell ref="C52:H52"/>
    <mergeCell ref="C41:G41"/>
    <mergeCell ref="B42:F42"/>
    <mergeCell ref="B44:F44"/>
    <mergeCell ref="G44:H44"/>
    <mergeCell ref="B45:H45"/>
    <mergeCell ref="C46:H46"/>
    <mergeCell ref="C47:H47"/>
    <mergeCell ref="C48:H48"/>
    <mergeCell ref="C49:H49"/>
    <mergeCell ref="C50:H50"/>
    <mergeCell ref="C51:H51"/>
    <mergeCell ref="B61:F61"/>
    <mergeCell ref="G61:H61"/>
    <mergeCell ref="B62:F62"/>
    <mergeCell ref="C55:H55"/>
    <mergeCell ref="C53:H53"/>
    <mergeCell ref="C54:H54"/>
    <mergeCell ref="C56:H56"/>
    <mergeCell ref="B57:F57"/>
    <mergeCell ref="B58:F58"/>
    <mergeCell ref="B60:F60"/>
    <mergeCell ref="G60:H60"/>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4F2F9-0577-4B2D-AD9C-96BB98385A9F}">
  <sheetPr codeName="Sheet10">
    <tabColor rgb="FFC00000"/>
  </sheetPr>
  <dimension ref="B1:O62"/>
  <sheetViews>
    <sheetView topLeftCell="A33" workbookViewId="0">
      <selection activeCell="L51" sqref="L51"/>
    </sheetView>
  </sheetViews>
  <sheetFormatPr defaultRowHeight="15" x14ac:dyDescent="0.25"/>
  <cols>
    <col min="1" max="1" width="2.7109375" customWidth="1"/>
    <col min="2" max="2" width="5.5703125" customWidth="1"/>
    <col min="8" max="8" width="11.42578125" customWidth="1"/>
    <col min="9" max="9" width="11.85546875" customWidth="1"/>
    <col min="10" max="10" width="11.28515625" customWidth="1"/>
    <col min="11" max="11" width="11.7109375" bestFit="1" customWidth="1"/>
    <col min="12" max="12" width="9.85546875" customWidth="1"/>
    <col min="13" max="13" width="13.85546875" bestFit="1" customWidth="1"/>
    <col min="14" max="14" width="9.5703125" bestFit="1" customWidth="1"/>
  </cols>
  <sheetData>
    <row r="1" spans="2:15" ht="15.75" thickBot="1" x14ac:dyDescent="0.3"/>
    <row r="2" spans="2:15" ht="30.75" customHeight="1" x14ac:dyDescent="0.25">
      <c r="B2" s="234" t="s">
        <v>138</v>
      </c>
      <c r="C2" s="235"/>
      <c r="D2" s="235"/>
      <c r="E2" s="235"/>
      <c r="F2" s="235"/>
      <c r="G2" s="235"/>
      <c r="H2" s="235"/>
      <c r="I2" s="235"/>
      <c r="J2" s="235"/>
      <c r="K2" s="235"/>
      <c r="L2" s="235"/>
      <c r="M2" s="235"/>
      <c r="N2" s="235"/>
      <c r="O2" s="236"/>
    </row>
    <row r="3" spans="2:15" ht="15.75" thickBot="1" x14ac:dyDescent="0.3">
      <c r="B3" s="237" t="s">
        <v>93</v>
      </c>
      <c r="C3" s="238"/>
      <c r="D3" s="238"/>
      <c r="E3" s="238"/>
      <c r="F3" s="238"/>
      <c r="G3" s="238"/>
      <c r="H3" s="238"/>
      <c r="I3" s="238"/>
      <c r="J3" s="238"/>
      <c r="K3" s="238"/>
      <c r="L3" s="238"/>
      <c r="M3" s="238"/>
      <c r="N3" s="238"/>
      <c r="O3" s="239"/>
    </row>
    <row r="5" spans="2:15" x14ac:dyDescent="0.25">
      <c r="B5" s="203" t="s">
        <v>60</v>
      </c>
      <c r="C5" s="203"/>
      <c r="D5" s="203"/>
      <c r="E5" s="240" t="s">
        <v>61</v>
      </c>
      <c r="F5" s="240"/>
      <c r="G5" s="240" t="s">
        <v>62</v>
      </c>
      <c r="H5" s="240"/>
      <c r="I5" s="240" t="s">
        <v>97</v>
      </c>
      <c r="J5" s="240"/>
    </row>
    <row r="6" spans="2:15" x14ac:dyDescent="0.25">
      <c r="B6" s="225">
        <f>'PRODUCTS &amp; VOLUME'!C28</f>
        <v>0</v>
      </c>
      <c r="C6" s="226"/>
      <c r="D6" s="227"/>
      <c r="E6" s="228">
        <f>'PRODUCTS &amp; VOLUME'!D28</f>
        <v>0</v>
      </c>
      <c r="F6" s="229"/>
      <c r="G6" s="230">
        <f>E6*102.5%</f>
        <v>0</v>
      </c>
      <c r="H6" s="231"/>
      <c r="I6" s="232" t="str">
        <f>IFERROR((E6-G6)/E6,"")</f>
        <v/>
      </c>
      <c r="J6" s="233"/>
    </row>
    <row r="8" spans="2:15" x14ac:dyDescent="0.25">
      <c r="B8" s="216" t="s">
        <v>42</v>
      </c>
      <c r="C8" s="217"/>
      <c r="D8" s="217"/>
      <c r="E8" s="217"/>
      <c r="F8" s="217"/>
      <c r="G8" s="217"/>
      <c r="H8" s="82" t="s">
        <v>53</v>
      </c>
      <c r="I8" s="83" t="s">
        <v>52</v>
      </c>
      <c r="J8" s="83" t="s">
        <v>57</v>
      </c>
      <c r="K8" s="83" t="s">
        <v>55</v>
      </c>
      <c r="L8" s="83" t="s">
        <v>58</v>
      </c>
      <c r="M8" s="84" t="s">
        <v>59</v>
      </c>
    </row>
    <row r="9" spans="2:15" x14ac:dyDescent="0.25">
      <c r="B9" s="35">
        <v>1</v>
      </c>
      <c r="C9" s="206"/>
      <c r="D9" s="207"/>
      <c r="E9" s="207"/>
      <c r="F9" s="207"/>
      <c r="G9" s="207"/>
      <c r="H9" s="4"/>
      <c r="I9" s="41" t="str">
        <f>IFERROR(IF(H9/$H$29=0,"",H9/$H$29),"")</f>
        <v/>
      </c>
      <c r="J9" s="45"/>
      <c r="K9" s="39"/>
      <c r="L9" s="48" t="str">
        <f t="shared" ref="L9:L19" si="0">IFERROR(H9/J9,"")</f>
        <v/>
      </c>
      <c r="M9" s="50" t="str">
        <f t="shared" ref="M9:M19" si="1">IFERROR(L9*K9,"")</f>
        <v/>
      </c>
    </row>
    <row r="10" spans="2:15" x14ac:dyDescent="0.25">
      <c r="B10" s="35">
        <v>2</v>
      </c>
      <c r="C10" s="206"/>
      <c r="D10" s="207"/>
      <c r="E10" s="207"/>
      <c r="F10" s="207"/>
      <c r="G10" s="207"/>
      <c r="H10" s="4"/>
      <c r="I10" s="41" t="str">
        <f t="shared" ref="I10:I28" si="2">IFERROR(IF(H10/$H$29=0,"",H10/$H$29),"")</f>
        <v/>
      </c>
      <c r="J10" s="45"/>
      <c r="K10" s="39"/>
      <c r="L10" s="48" t="str">
        <f t="shared" si="0"/>
        <v/>
      </c>
      <c r="M10" s="50" t="str">
        <f t="shared" si="1"/>
        <v/>
      </c>
    </row>
    <row r="11" spans="2:15" x14ac:dyDescent="0.25">
      <c r="B11" s="35">
        <v>3</v>
      </c>
      <c r="C11" s="206"/>
      <c r="D11" s="207"/>
      <c r="E11" s="207"/>
      <c r="F11" s="207"/>
      <c r="G11" s="207"/>
      <c r="H11" s="4"/>
      <c r="I11" s="41" t="str">
        <f t="shared" si="2"/>
        <v/>
      </c>
      <c r="J11" s="45"/>
      <c r="K11" s="39"/>
      <c r="L11" s="48" t="str">
        <f t="shared" si="0"/>
        <v/>
      </c>
      <c r="M11" s="50" t="str">
        <f t="shared" si="1"/>
        <v/>
      </c>
    </row>
    <row r="12" spans="2:15" x14ac:dyDescent="0.25">
      <c r="B12" s="35">
        <v>4</v>
      </c>
      <c r="C12" s="42"/>
      <c r="D12" s="43"/>
      <c r="E12" s="43"/>
      <c r="F12" s="43"/>
      <c r="G12" s="43"/>
      <c r="H12" s="4"/>
      <c r="I12" s="41" t="str">
        <f t="shared" si="2"/>
        <v/>
      </c>
      <c r="J12" s="45"/>
      <c r="K12" s="39"/>
      <c r="L12" s="48" t="str">
        <f t="shared" si="0"/>
        <v/>
      </c>
      <c r="M12" s="50" t="str">
        <f t="shared" si="1"/>
        <v/>
      </c>
      <c r="N12" s="47"/>
    </row>
    <row r="13" spans="2:15" x14ac:dyDescent="0.25">
      <c r="B13" s="35">
        <v>5</v>
      </c>
      <c r="C13" s="206"/>
      <c r="D13" s="207"/>
      <c r="E13" s="207"/>
      <c r="F13" s="207"/>
      <c r="G13" s="207"/>
      <c r="H13" s="4"/>
      <c r="I13" s="41" t="str">
        <f t="shared" si="2"/>
        <v/>
      </c>
      <c r="J13" s="45"/>
      <c r="K13" s="39"/>
      <c r="L13" s="48" t="str">
        <f t="shared" si="0"/>
        <v/>
      </c>
      <c r="M13" s="50" t="str">
        <f t="shared" si="1"/>
        <v/>
      </c>
    </row>
    <row r="14" spans="2:15" x14ac:dyDescent="0.25">
      <c r="B14" s="35">
        <v>6</v>
      </c>
      <c r="C14" s="206"/>
      <c r="D14" s="207"/>
      <c r="E14" s="207"/>
      <c r="F14" s="207"/>
      <c r="G14" s="207"/>
      <c r="H14" s="4"/>
      <c r="I14" s="41" t="str">
        <f t="shared" si="2"/>
        <v/>
      </c>
      <c r="J14" s="45"/>
      <c r="K14" s="39"/>
      <c r="L14" s="48" t="str">
        <f t="shared" si="0"/>
        <v/>
      </c>
      <c r="M14" s="50" t="str">
        <f t="shared" si="1"/>
        <v/>
      </c>
    </row>
    <row r="15" spans="2:15" x14ac:dyDescent="0.25">
      <c r="B15" s="35">
        <v>7</v>
      </c>
      <c r="C15" s="206"/>
      <c r="D15" s="207"/>
      <c r="E15" s="207"/>
      <c r="F15" s="207"/>
      <c r="G15" s="207"/>
      <c r="H15" s="4"/>
      <c r="I15" s="41" t="str">
        <f t="shared" si="2"/>
        <v/>
      </c>
      <c r="J15" s="45"/>
      <c r="K15" s="39"/>
      <c r="L15" s="48" t="str">
        <f t="shared" si="0"/>
        <v/>
      </c>
      <c r="M15" s="50" t="str">
        <f t="shared" si="1"/>
        <v/>
      </c>
    </row>
    <row r="16" spans="2:15" x14ac:dyDescent="0.25">
      <c r="B16" s="35">
        <v>8</v>
      </c>
      <c r="C16" s="42"/>
      <c r="D16" s="43"/>
      <c r="E16" s="43"/>
      <c r="F16" s="43"/>
      <c r="G16" s="43"/>
      <c r="H16" s="4"/>
      <c r="I16" s="41" t="str">
        <f t="shared" si="2"/>
        <v/>
      </c>
      <c r="J16" s="45"/>
      <c r="K16" s="39"/>
      <c r="L16" s="48" t="str">
        <f t="shared" si="0"/>
        <v/>
      </c>
      <c r="M16" s="50" t="str">
        <f t="shared" si="1"/>
        <v/>
      </c>
    </row>
    <row r="17" spans="2:13" x14ac:dyDescent="0.25">
      <c r="B17" s="35">
        <v>9</v>
      </c>
      <c r="C17" s="42"/>
      <c r="D17" s="43"/>
      <c r="E17" s="43"/>
      <c r="F17" s="43"/>
      <c r="G17" s="43"/>
      <c r="H17" s="4"/>
      <c r="I17" s="41" t="str">
        <f t="shared" si="2"/>
        <v/>
      </c>
      <c r="J17" s="45"/>
      <c r="K17" s="39"/>
      <c r="L17" s="48" t="str">
        <f t="shared" si="0"/>
        <v/>
      </c>
      <c r="M17" s="50" t="str">
        <f t="shared" si="1"/>
        <v/>
      </c>
    </row>
    <row r="18" spans="2:13" x14ac:dyDescent="0.25">
      <c r="B18" s="35">
        <v>10</v>
      </c>
      <c r="C18" s="42"/>
      <c r="D18" s="43"/>
      <c r="E18" s="43"/>
      <c r="F18" s="43"/>
      <c r="G18" s="43"/>
      <c r="H18" s="4"/>
      <c r="I18" s="41" t="str">
        <f t="shared" si="2"/>
        <v/>
      </c>
      <c r="J18" s="45"/>
      <c r="K18" s="39"/>
      <c r="L18" s="48" t="str">
        <f t="shared" si="0"/>
        <v/>
      </c>
      <c r="M18" s="50" t="str">
        <f t="shared" si="1"/>
        <v/>
      </c>
    </row>
    <row r="19" spans="2:13" x14ac:dyDescent="0.25">
      <c r="B19" s="35">
        <v>11</v>
      </c>
      <c r="C19" s="206"/>
      <c r="D19" s="207"/>
      <c r="E19" s="207"/>
      <c r="F19" s="207"/>
      <c r="G19" s="207"/>
      <c r="H19" s="4"/>
      <c r="I19" s="41" t="str">
        <f t="shared" si="2"/>
        <v/>
      </c>
      <c r="J19" s="45"/>
      <c r="K19" s="39"/>
      <c r="L19" s="48" t="str">
        <f t="shared" si="0"/>
        <v/>
      </c>
      <c r="M19" s="50" t="str">
        <f t="shared" si="1"/>
        <v/>
      </c>
    </row>
    <row r="20" spans="2:13" x14ac:dyDescent="0.25">
      <c r="B20" s="35">
        <v>12</v>
      </c>
      <c r="C20" s="206"/>
      <c r="D20" s="207"/>
      <c r="E20" s="207"/>
      <c r="F20" s="207"/>
      <c r="G20" s="207"/>
      <c r="H20" s="5"/>
      <c r="I20" s="41" t="str">
        <f t="shared" si="2"/>
        <v/>
      </c>
      <c r="J20" s="45"/>
      <c r="K20" s="39"/>
      <c r="L20" s="48" t="str">
        <f>IFERROR(H20/J20,"")</f>
        <v/>
      </c>
      <c r="M20" s="50" t="str">
        <f>IFERROR(L20*K20,"")</f>
        <v/>
      </c>
    </row>
    <row r="21" spans="2:13" x14ac:dyDescent="0.25">
      <c r="B21" s="35">
        <v>13</v>
      </c>
      <c r="C21" s="206"/>
      <c r="D21" s="207"/>
      <c r="E21" s="207"/>
      <c r="F21" s="207"/>
      <c r="G21" s="207"/>
      <c r="H21" s="5"/>
      <c r="I21" s="41" t="str">
        <f t="shared" si="2"/>
        <v/>
      </c>
      <c r="J21" s="45"/>
      <c r="K21" s="39"/>
      <c r="L21" s="48" t="str">
        <f t="shared" ref="L21:L28" si="3">IFERROR(H21/J21,"")</f>
        <v/>
      </c>
      <c r="M21" s="50" t="str">
        <f t="shared" ref="M21:M28" si="4">IFERROR(L21*K21,"")</f>
        <v/>
      </c>
    </row>
    <row r="22" spans="2:13" x14ac:dyDescent="0.25">
      <c r="B22" s="35">
        <v>14</v>
      </c>
      <c r="C22" s="206"/>
      <c r="D22" s="207"/>
      <c r="E22" s="207"/>
      <c r="F22" s="207"/>
      <c r="G22" s="207"/>
      <c r="H22" s="5"/>
      <c r="I22" s="41" t="str">
        <f t="shared" si="2"/>
        <v/>
      </c>
      <c r="J22" s="45"/>
      <c r="K22" s="39"/>
      <c r="L22" s="48" t="str">
        <f t="shared" si="3"/>
        <v/>
      </c>
      <c r="M22" s="50" t="str">
        <f t="shared" si="4"/>
        <v/>
      </c>
    </row>
    <row r="23" spans="2:13" x14ac:dyDescent="0.25">
      <c r="B23" s="35">
        <v>15</v>
      </c>
      <c r="C23" s="206"/>
      <c r="D23" s="207"/>
      <c r="E23" s="207"/>
      <c r="F23" s="207"/>
      <c r="G23" s="207"/>
      <c r="H23" s="5"/>
      <c r="I23" s="41" t="str">
        <f t="shared" si="2"/>
        <v/>
      </c>
      <c r="J23" s="45"/>
      <c r="K23" s="39"/>
      <c r="L23" s="48" t="str">
        <f t="shared" si="3"/>
        <v/>
      </c>
      <c r="M23" s="50" t="str">
        <f t="shared" si="4"/>
        <v/>
      </c>
    </row>
    <row r="24" spans="2:13" x14ac:dyDescent="0.25">
      <c r="B24" s="35">
        <v>16</v>
      </c>
      <c r="C24" s="206"/>
      <c r="D24" s="207"/>
      <c r="E24" s="207"/>
      <c r="F24" s="207"/>
      <c r="G24" s="207"/>
      <c r="H24" s="5"/>
      <c r="I24" s="41" t="str">
        <f t="shared" si="2"/>
        <v/>
      </c>
      <c r="J24" s="45"/>
      <c r="K24" s="39"/>
      <c r="L24" s="48" t="str">
        <f t="shared" si="3"/>
        <v/>
      </c>
      <c r="M24" s="50" t="str">
        <f t="shared" si="4"/>
        <v/>
      </c>
    </row>
    <row r="25" spans="2:13" x14ac:dyDescent="0.25">
      <c r="B25" s="35">
        <v>17</v>
      </c>
      <c r="C25" s="206"/>
      <c r="D25" s="207"/>
      <c r="E25" s="207"/>
      <c r="F25" s="207"/>
      <c r="G25" s="207"/>
      <c r="H25" s="5"/>
      <c r="I25" s="41" t="str">
        <f t="shared" si="2"/>
        <v/>
      </c>
      <c r="J25" s="45"/>
      <c r="K25" s="39"/>
      <c r="L25" s="48" t="str">
        <f t="shared" si="3"/>
        <v/>
      </c>
      <c r="M25" s="50" t="str">
        <f t="shared" si="4"/>
        <v/>
      </c>
    </row>
    <row r="26" spans="2:13" x14ac:dyDescent="0.25">
      <c r="B26" s="35">
        <v>18</v>
      </c>
      <c r="C26" s="206"/>
      <c r="D26" s="207"/>
      <c r="E26" s="207"/>
      <c r="F26" s="207"/>
      <c r="G26" s="207"/>
      <c r="H26" s="5"/>
      <c r="I26" s="41" t="str">
        <f t="shared" si="2"/>
        <v/>
      </c>
      <c r="J26" s="45"/>
      <c r="K26" s="39"/>
      <c r="L26" s="48" t="str">
        <f t="shared" si="3"/>
        <v/>
      </c>
      <c r="M26" s="50" t="str">
        <f t="shared" si="4"/>
        <v/>
      </c>
    </row>
    <row r="27" spans="2:13" x14ac:dyDescent="0.25">
      <c r="B27" s="35">
        <v>19</v>
      </c>
      <c r="C27" s="206"/>
      <c r="D27" s="207"/>
      <c r="E27" s="207"/>
      <c r="F27" s="207"/>
      <c r="G27" s="207"/>
      <c r="H27" s="5"/>
      <c r="I27" s="41" t="str">
        <f t="shared" si="2"/>
        <v/>
      </c>
      <c r="J27" s="45"/>
      <c r="K27" s="39"/>
      <c r="L27" s="48" t="str">
        <f t="shared" si="3"/>
        <v/>
      </c>
      <c r="M27" s="50" t="str">
        <f t="shared" si="4"/>
        <v/>
      </c>
    </row>
    <row r="28" spans="2:13" x14ac:dyDescent="0.25">
      <c r="B28" s="35">
        <v>20</v>
      </c>
      <c r="C28" s="209"/>
      <c r="D28" s="210"/>
      <c r="E28" s="210"/>
      <c r="F28" s="210"/>
      <c r="G28" s="210"/>
      <c r="H28" s="6"/>
      <c r="I28" s="41" t="str">
        <f t="shared" si="2"/>
        <v/>
      </c>
      <c r="J28" s="46"/>
      <c r="K28" s="40"/>
      <c r="L28" s="48" t="str">
        <f t="shared" si="3"/>
        <v/>
      </c>
      <c r="M28" s="50" t="str">
        <f t="shared" si="4"/>
        <v/>
      </c>
    </row>
    <row r="29" spans="2:13" x14ac:dyDescent="0.25">
      <c r="B29" s="221" t="s">
        <v>54</v>
      </c>
      <c r="C29" s="221"/>
      <c r="D29" s="221"/>
      <c r="E29" s="221"/>
      <c r="F29" s="221"/>
      <c r="G29" s="221"/>
      <c r="H29" s="114">
        <f>SUM(H9:H28)</f>
        <v>0</v>
      </c>
      <c r="I29" s="51">
        <f>SUM(I9:I28)</f>
        <v>0</v>
      </c>
      <c r="J29" s="222"/>
      <c r="K29" s="223"/>
      <c r="L29" s="52">
        <f>SUM(L9:L28)</f>
        <v>0</v>
      </c>
      <c r="M29" s="85">
        <f>SUM(M9:M28)</f>
        <v>0</v>
      </c>
    </row>
    <row r="30" spans="2:13" ht="6.75" customHeight="1" x14ac:dyDescent="0.25"/>
    <row r="31" spans="2:13" x14ac:dyDescent="0.25">
      <c r="B31" s="224" t="s">
        <v>63</v>
      </c>
      <c r="C31" s="224"/>
      <c r="D31" s="224"/>
      <c r="E31" s="224"/>
      <c r="F31" s="224"/>
      <c r="G31" s="224"/>
      <c r="H31" s="58" t="s">
        <v>100</v>
      </c>
      <c r="I31" s="49" t="s">
        <v>67</v>
      </c>
      <c r="J31" s="49" t="s">
        <v>101</v>
      </c>
    </row>
    <row r="32" spans="2:13" x14ac:dyDescent="0.25">
      <c r="B32" s="34">
        <v>1</v>
      </c>
      <c r="C32" s="219"/>
      <c r="D32" s="220"/>
      <c r="E32" s="220"/>
      <c r="F32" s="220"/>
      <c r="G32" s="220"/>
      <c r="H32" s="110"/>
      <c r="I32" s="107"/>
      <c r="J32" s="72">
        <f>IFERROR(H32*I32,"")</f>
        <v>0</v>
      </c>
    </row>
    <row r="33" spans="2:11" x14ac:dyDescent="0.25">
      <c r="B33" s="35">
        <v>2</v>
      </c>
      <c r="C33" s="206"/>
      <c r="D33" s="207"/>
      <c r="E33" s="207"/>
      <c r="F33" s="207"/>
      <c r="G33" s="207"/>
      <c r="H33" s="111"/>
      <c r="I33" s="55"/>
      <c r="J33" s="73">
        <f>IFERROR(H33*I33,"")</f>
        <v>0</v>
      </c>
    </row>
    <row r="34" spans="2:11" x14ac:dyDescent="0.25">
      <c r="B34" s="35">
        <v>3</v>
      </c>
      <c r="C34" s="206"/>
      <c r="D34" s="207"/>
      <c r="E34" s="207"/>
      <c r="F34" s="207"/>
      <c r="G34" s="207"/>
      <c r="H34" s="111"/>
      <c r="I34" s="55"/>
      <c r="J34" s="73">
        <f>IFERROR(H34*I34,"")</f>
        <v>0</v>
      </c>
    </row>
    <row r="35" spans="2:11" x14ac:dyDescent="0.25">
      <c r="B35" s="36">
        <v>4</v>
      </c>
      <c r="C35" s="44"/>
      <c r="D35" s="32"/>
      <c r="E35" s="32"/>
      <c r="F35" s="32"/>
      <c r="G35" s="32"/>
      <c r="H35" s="112"/>
      <c r="I35" s="108"/>
      <c r="J35" s="73">
        <f>IFERROR(H35*I35,"")</f>
        <v>0</v>
      </c>
    </row>
    <row r="36" spans="2:11" x14ac:dyDescent="0.25">
      <c r="B36" s="203" t="s">
        <v>88</v>
      </c>
      <c r="C36" s="203"/>
      <c r="D36" s="203"/>
      <c r="E36" s="203"/>
      <c r="F36" s="203"/>
      <c r="G36" s="88"/>
      <c r="H36" s="109"/>
      <c r="I36" s="90"/>
      <c r="J36" s="106">
        <f>SUM(J32:J35)</f>
        <v>0</v>
      </c>
    </row>
    <row r="37" spans="2:11" x14ac:dyDescent="0.25">
      <c r="B37" s="1"/>
      <c r="C37" s="65"/>
      <c r="D37" s="65"/>
      <c r="E37" s="65"/>
      <c r="F37" s="65"/>
      <c r="G37" s="65"/>
      <c r="H37" s="78"/>
      <c r="I37" s="79"/>
    </row>
    <row r="38" spans="2:11" ht="7.5" customHeight="1" x14ac:dyDescent="0.25"/>
    <row r="39" spans="2:11" x14ac:dyDescent="0.25">
      <c r="B39" s="221" t="s">
        <v>68</v>
      </c>
      <c r="C39" s="221"/>
      <c r="D39" s="221"/>
      <c r="E39" s="221"/>
      <c r="F39" s="221"/>
      <c r="G39" s="221"/>
      <c r="H39" s="58" t="s">
        <v>70</v>
      </c>
      <c r="I39" s="49" t="s">
        <v>71</v>
      </c>
      <c r="J39" s="49" t="s">
        <v>72</v>
      </c>
      <c r="K39" s="49" t="s">
        <v>101</v>
      </c>
    </row>
    <row r="40" spans="2:11" x14ac:dyDescent="0.25">
      <c r="B40" s="34">
        <v>1</v>
      </c>
      <c r="C40" s="264" t="s">
        <v>69</v>
      </c>
      <c r="D40" s="265"/>
      <c r="E40" s="265"/>
      <c r="F40" s="265"/>
      <c r="G40" s="265"/>
      <c r="H40" s="53"/>
      <c r="I40" s="57"/>
      <c r="J40" s="80"/>
      <c r="K40" s="72">
        <f>H40*I40*J40</f>
        <v>0</v>
      </c>
    </row>
    <row r="41" spans="2:11" x14ac:dyDescent="0.25">
      <c r="B41" s="36">
        <v>2</v>
      </c>
      <c r="C41" s="262" t="s">
        <v>73</v>
      </c>
      <c r="D41" s="263"/>
      <c r="E41" s="263"/>
      <c r="F41" s="263"/>
      <c r="G41" s="263"/>
      <c r="H41" s="59"/>
      <c r="I41" s="60"/>
      <c r="J41" s="3"/>
      <c r="K41" s="74">
        <f>H41*I41*J41</f>
        <v>0</v>
      </c>
    </row>
    <row r="42" spans="2:11" x14ac:dyDescent="0.25">
      <c r="B42" s="203" t="s">
        <v>87</v>
      </c>
      <c r="C42" s="203"/>
      <c r="D42" s="203"/>
      <c r="E42" s="203"/>
      <c r="F42" s="203"/>
      <c r="G42" s="88"/>
      <c r="H42" s="89"/>
      <c r="I42" s="91"/>
      <c r="J42" s="77"/>
      <c r="K42" s="86">
        <f>SUM(K40:K41)</f>
        <v>0</v>
      </c>
    </row>
    <row r="43" spans="2:11" x14ac:dyDescent="0.25">
      <c r="B43" s="1"/>
      <c r="C43" s="65"/>
      <c r="D43" s="65"/>
      <c r="E43" s="65"/>
      <c r="F43" s="65"/>
      <c r="G43" s="65"/>
      <c r="H43" s="66"/>
      <c r="I43" s="67"/>
    </row>
    <row r="44" spans="2:11" ht="15" customHeight="1" x14ac:dyDescent="0.25">
      <c r="B44" s="214" t="s">
        <v>85</v>
      </c>
      <c r="C44" s="214"/>
      <c r="D44" s="214"/>
      <c r="E44" s="214"/>
      <c r="F44" s="214"/>
      <c r="G44" s="215">
        <f>'PRODUCTS &amp; VOLUME'!M29</f>
        <v>0</v>
      </c>
      <c r="H44" s="215"/>
    </row>
    <row r="45" spans="2:11" x14ac:dyDescent="0.25">
      <c r="B45" s="216" t="s">
        <v>84</v>
      </c>
      <c r="C45" s="217"/>
      <c r="D45" s="217"/>
      <c r="E45" s="217"/>
      <c r="F45" s="217"/>
      <c r="G45" s="217"/>
      <c r="H45" s="218"/>
      <c r="I45" s="82" t="s">
        <v>11</v>
      </c>
      <c r="J45" s="84" t="s">
        <v>79</v>
      </c>
    </row>
    <row r="46" spans="2:11" x14ac:dyDescent="0.25">
      <c r="B46" s="35">
        <v>1</v>
      </c>
      <c r="C46" s="206" t="s">
        <v>74</v>
      </c>
      <c r="D46" s="207"/>
      <c r="E46" s="207"/>
      <c r="F46" s="207"/>
      <c r="G46" s="207"/>
      <c r="H46" s="208"/>
      <c r="I46" s="61"/>
      <c r="J46" s="73" t="str">
        <f>IFERROR(I46/$G$44,"")</f>
        <v/>
      </c>
    </row>
    <row r="47" spans="2:11" x14ac:dyDescent="0.25">
      <c r="B47" s="35">
        <v>2</v>
      </c>
      <c r="C47" s="206" t="s">
        <v>50</v>
      </c>
      <c r="D47" s="207"/>
      <c r="E47" s="207"/>
      <c r="F47" s="207"/>
      <c r="G47" s="207"/>
      <c r="H47" s="208"/>
      <c r="I47" s="61"/>
      <c r="J47" s="73" t="str">
        <f t="shared" ref="J47:J56" si="5">IFERROR(I47/$G$44,"")</f>
        <v/>
      </c>
    </row>
    <row r="48" spans="2:11" x14ac:dyDescent="0.25">
      <c r="B48" s="35">
        <v>3</v>
      </c>
      <c r="C48" s="206" t="s">
        <v>75</v>
      </c>
      <c r="D48" s="207"/>
      <c r="E48" s="207"/>
      <c r="F48" s="207"/>
      <c r="G48" s="207"/>
      <c r="H48" s="208"/>
      <c r="I48" s="61"/>
      <c r="J48" s="73" t="str">
        <f t="shared" si="5"/>
        <v/>
      </c>
    </row>
    <row r="49" spans="2:10" x14ac:dyDescent="0.25">
      <c r="B49" s="35">
        <v>4</v>
      </c>
      <c r="C49" s="206" t="s">
        <v>82</v>
      </c>
      <c r="D49" s="207"/>
      <c r="E49" s="207"/>
      <c r="F49" s="207"/>
      <c r="G49" s="207"/>
      <c r="H49" s="208"/>
      <c r="I49" s="61"/>
      <c r="J49" s="73" t="str">
        <f t="shared" si="5"/>
        <v/>
      </c>
    </row>
    <row r="50" spans="2:10" x14ac:dyDescent="0.25">
      <c r="B50" s="35">
        <v>5</v>
      </c>
      <c r="C50" s="206" t="s">
        <v>76</v>
      </c>
      <c r="D50" s="207"/>
      <c r="E50" s="207"/>
      <c r="F50" s="207"/>
      <c r="G50" s="207"/>
      <c r="H50" s="208"/>
      <c r="I50" s="61"/>
      <c r="J50" s="73" t="str">
        <f t="shared" si="5"/>
        <v/>
      </c>
    </row>
    <row r="51" spans="2:10" x14ac:dyDescent="0.25">
      <c r="B51" s="35">
        <v>6</v>
      </c>
      <c r="C51" s="206" t="s">
        <v>77</v>
      </c>
      <c r="D51" s="207"/>
      <c r="E51" s="207"/>
      <c r="F51" s="207"/>
      <c r="G51" s="207"/>
      <c r="H51" s="208"/>
      <c r="I51" s="61"/>
      <c r="J51" s="73" t="str">
        <f t="shared" si="5"/>
        <v/>
      </c>
    </row>
    <row r="52" spans="2:10" x14ac:dyDescent="0.25">
      <c r="B52" s="35">
        <v>7</v>
      </c>
      <c r="C52" s="206" t="s">
        <v>78</v>
      </c>
      <c r="D52" s="207"/>
      <c r="E52" s="207"/>
      <c r="F52" s="207"/>
      <c r="G52" s="207"/>
      <c r="H52" s="208"/>
      <c r="I52" s="61"/>
      <c r="J52" s="73" t="str">
        <f t="shared" si="5"/>
        <v/>
      </c>
    </row>
    <row r="53" spans="2:10" x14ac:dyDescent="0.25">
      <c r="B53" s="35">
        <v>8</v>
      </c>
      <c r="C53" s="206" t="s">
        <v>80</v>
      </c>
      <c r="D53" s="207"/>
      <c r="E53" s="207"/>
      <c r="F53" s="207"/>
      <c r="G53" s="207"/>
      <c r="H53" s="208"/>
      <c r="I53" s="61"/>
      <c r="J53" s="73" t="str">
        <f t="shared" si="5"/>
        <v/>
      </c>
    </row>
    <row r="54" spans="2:10" x14ac:dyDescent="0.25">
      <c r="B54" s="35">
        <v>9</v>
      </c>
      <c r="C54" s="206" t="s">
        <v>81</v>
      </c>
      <c r="D54" s="207"/>
      <c r="E54" s="207"/>
      <c r="F54" s="207"/>
      <c r="G54" s="207"/>
      <c r="H54" s="208"/>
      <c r="I54" s="39"/>
      <c r="J54" s="73" t="str">
        <f t="shared" si="5"/>
        <v/>
      </c>
    </row>
    <row r="55" spans="2:10" x14ac:dyDescent="0.25">
      <c r="B55" s="35">
        <v>10</v>
      </c>
      <c r="C55" s="206" t="s">
        <v>128</v>
      </c>
      <c r="D55" s="207"/>
      <c r="E55" s="207"/>
      <c r="F55" s="207"/>
      <c r="G55" s="207"/>
      <c r="H55" s="208"/>
      <c r="I55" s="61"/>
      <c r="J55" s="73" t="str">
        <f t="shared" si="5"/>
        <v/>
      </c>
    </row>
    <row r="56" spans="2:10" x14ac:dyDescent="0.25">
      <c r="B56" s="36">
        <v>11</v>
      </c>
      <c r="C56" s="209" t="s">
        <v>147</v>
      </c>
      <c r="D56" s="210"/>
      <c r="E56" s="210"/>
      <c r="F56" s="210"/>
      <c r="G56" s="210"/>
      <c r="H56" s="211"/>
      <c r="I56" s="71"/>
      <c r="J56" s="74" t="str">
        <f t="shared" si="5"/>
        <v/>
      </c>
    </row>
    <row r="57" spans="2:10" x14ac:dyDescent="0.25">
      <c r="B57" s="203" t="s">
        <v>86</v>
      </c>
      <c r="C57" s="203"/>
      <c r="D57" s="203"/>
      <c r="E57" s="203"/>
      <c r="F57" s="203"/>
      <c r="G57" s="75"/>
      <c r="H57" s="76"/>
      <c r="I57" s="76"/>
      <c r="J57" s="86">
        <f>SUM(J46:J56)</f>
        <v>0</v>
      </c>
    </row>
    <row r="58" spans="2:10" x14ac:dyDescent="0.25">
      <c r="B58" s="203" t="s">
        <v>90</v>
      </c>
      <c r="C58" s="203"/>
      <c r="D58" s="203"/>
      <c r="E58" s="203"/>
      <c r="F58" s="203"/>
      <c r="G58" s="75"/>
      <c r="H58" s="76"/>
      <c r="I58" s="77"/>
      <c r="J58" s="86">
        <f>J57*H29</f>
        <v>0</v>
      </c>
    </row>
    <row r="60" spans="2:10" x14ac:dyDescent="0.25">
      <c r="B60" s="203" t="s">
        <v>89</v>
      </c>
      <c r="C60" s="203"/>
      <c r="D60" s="203"/>
      <c r="E60" s="203"/>
      <c r="F60" s="203"/>
      <c r="G60" s="212">
        <f>SUM(M29,J36,K42,J58)</f>
        <v>0</v>
      </c>
      <c r="H60" s="213"/>
    </row>
    <row r="61" spans="2:10" x14ac:dyDescent="0.25">
      <c r="B61" s="203" t="s">
        <v>91</v>
      </c>
      <c r="C61" s="203"/>
      <c r="D61" s="203"/>
      <c r="E61" s="203"/>
      <c r="F61" s="203"/>
      <c r="G61" s="204" t="str">
        <f>IFERROR(H29/G6,"")</f>
        <v/>
      </c>
      <c r="H61" s="205"/>
      <c r="I61" s="85" t="str">
        <f>IFERROR($G$60/G61,"")</f>
        <v/>
      </c>
    </row>
    <row r="62" spans="2:10" x14ac:dyDescent="0.25">
      <c r="B62" s="203" t="s">
        <v>92</v>
      </c>
      <c r="C62" s="203"/>
      <c r="D62" s="203"/>
      <c r="E62" s="203"/>
      <c r="F62" s="203"/>
      <c r="G62" s="105">
        <f>'PRODUCTS &amp; VOLUME'!E28</f>
        <v>0</v>
      </c>
      <c r="H62" s="81" t="str">
        <f>IFERROR(G61/G62,"")</f>
        <v/>
      </c>
      <c r="I62" s="87" t="str">
        <f>IFERROR($G$60/H62,"")</f>
        <v/>
      </c>
    </row>
  </sheetData>
  <mergeCells count="59">
    <mergeCell ref="B2:O2"/>
    <mergeCell ref="B3:O3"/>
    <mergeCell ref="B5:D5"/>
    <mergeCell ref="E5:F5"/>
    <mergeCell ref="G5:H5"/>
    <mergeCell ref="I5:J5"/>
    <mergeCell ref="C19:G19"/>
    <mergeCell ref="B6:D6"/>
    <mergeCell ref="E6:F6"/>
    <mergeCell ref="G6:H6"/>
    <mergeCell ref="I6:J6"/>
    <mergeCell ref="B8:G8"/>
    <mergeCell ref="C9:G9"/>
    <mergeCell ref="C10:G10"/>
    <mergeCell ref="C11:G11"/>
    <mergeCell ref="C13:G13"/>
    <mergeCell ref="C14:G14"/>
    <mergeCell ref="C15:G15"/>
    <mergeCell ref="J29:K29"/>
    <mergeCell ref="B31:G31"/>
    <mergeCell ref="C20:G20"/>
    <mergeCell ref="C21:G21"/>
    <mergeCell ref="C22:G22"/>
    <mergeCell ref="C23:G23"/>
    <mergeCell ref="C24:G24"/>
    <mergeCell ref="C25:G25"/>
    <mergeCell ref="C40:G40"/>
    <mergeCell ref="C26:G26"/>
    <mergeCell ref="C27:G27"/>
    <mergeCell ref="C28:G28"/>
    <mergeCell ref="B29:G29"/>
    <mergeCell ref="C32:G32"/>
    <mergeCell ref="C33:G33"/>
    <mergeCell ref="C34:G34"/>
    <mergeCell ref="B36:F36"/>
    <mergeCell ref="B39:G39"/>
    <mergeCell ref="C52:H52"/>
    <mergeCell ref="C41:G41"/>
    <mergeCell ref="B42:F42"/>
    <mergeCell ref="B44:F44"/>
    <mergeCell ref="G44:H44"/>
    <mergeCell ref="B45:H45"/>
    <mergeCell ref="C46:H46"/>
    <mergeCell ref="C47:H47"/>
    <mergeCell ref="C48:H48"/>
    <mergeCell ref="C49:H49"/>
    <mergeCell ref="C50:H50"/>
    <mergeCell ref="C51:H51"/>
    <mergeCell ref="B61:F61"/>
    <mergeCell ref="G61:H61"/>
    <mergeCell ref="B62:F62"/>
    <mergeCell ref="C55:H55"/>
    <mergeCell ref="C53:H53"/>
    <mergeCell ref="C54:H54"/>
    <mergeCell ref="C56:H56"/>
    <mergeCell ref="B57:F57"/>
    <mergeCell ref="B58:F58"/>
    <mergeCell ref="B60:F60"/>
    <mergeCell ref="G60:H60"/>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5990-9BF2-4CBB-ABBE-C4319E8741EB}">
  <sheetPr codeName="Sheet11">
    <tabColor rgb="FF00B050"/>
  </sheetPr>
  <dimension ref="A1:AL103"/>
  <sheetViews>
    <sheetView topLeftCell="C1" zoomScale="85" zoomScaleNormal="85" workbookViewId="0">
      <selection activeCell="J3" sqref="J3"/>
    </sheetView>
  </sheetViews>
  <sheetFormatPr defaultRowHeight="13.5" x14ac:dyDescent="0.25"/>
  <cols>
    <col min="1" max="1" width="2.42578125" style="119" customWidth="1"/>
    <col min="2" max="2" width="3.42578125" style="119" customWidth="1"/>
    <col min="3" max="3" width="29.28515625" style="119" customWidth="1"/>
    <col min="4" max="6" width="9.85546875" style="119" customWidth="1"/>
    <col min="7" max="7" width="6.140625" style="119" customWidth="1"/>
    <col min="8" max="8" width="9" style="119" customWidth="1"/>
    <col min="9" max="9" width="1.7109375" style="119" customWidth="1"/>
    <col min="10" max="13" width="9.7109375" style="119" customWidth="1"/>
    <col min="14" max="14" width="1.7109375" style="119" customWidth="1"/>
    <col min="15" max="17" width="11" style="119" customWidth="1"/>
    <col min="18" max="18" width="2.28515625" style="119" customWidth="1"/>
    <col min="19" max="19" width="9.140625" style="119"/>
    <col min="20" max="20" width="2.42578125" style="119" customWidth="1"/>
    <col min="21" max="21" width="3.42578125" style="119" customWidth="1"/>
    <col min="22" max="22" width="29.28515625" style="119" customWidth="1"/>
    <col min="23" max="25" width="9.85546875" style="119" customWidth="1"/>
    <col min="26" max="26" width="6.140625" style="119" customWidth="1"/>
    <col min="27" max="27" width="9" style="119" customWidth="1"/>
    <col min="28" max="28" width="1.7109375" style="119" customWidth="1"/>
    <col min="29" max="32" width="9.7109375" style="119" customWidth="1"/>
    <col min="33" max="33" width="1.7109375" style="119" customWidth="1"/>
    <col min="34" max="36" width="11" style="119" customWidth="1"/>
    <col min="37" max="37" width="2.28515625" style="119" customWidth="1"/>
    <col min="38" max="16384" width="9.140625" style="119"/>
  </cols>
  <sheetData>
    <row r="1" spans="1:38" x14ac:dyDescent="0.25">
      <c r="A1" s="189" t="s">
        <v>140</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row>
    <row r="2" spans="1:38" ht="19.5" customHeight="1" x14ac:dyDescent="0.25">
      <c r="A2" s="169"/>
      <c r="B2" s="169"/>
      <c r="C2" s="261" t="s">
        <v>139</v>
      </c>
      <c r="D2" s="261"/>
      <c r="E2" s="261"/>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row>
    <row r="3" spans="1:38" ht="19.5" customHeight="1" x14ac:dyDescent="0.25">
      <c r="A3" s="169"/>
      <c r="B3" s="169"/>
      <c r="C3" s="261"/>
      <c r="D3" s="261"/>
      <c r="E3" s="261"/>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row>
    <row r="4" spans="1:38"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row>
    <row r="5" spans="1:38" x14ac:dyDescent="0.25">
      <c r="A5" s="169"/>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row>
    <row r="6" spans="1:38" x14ac:dyDescent="0.25">
      <c r="A6" s="169"/>
      <c r="B6" s="171"/>
      <c r="C6" s="172"/>
      <c r="D6" s="172"/>
      <c r="E6" s="172"/>
      <c r="F6" s="172"/>
      <c r="G6" s="172"/>
      <c r="H6" s="172"/>
      <c r="I6" s="172"/>
      <c r="J6" s="172"/>
      <c r="K6" s="172"/>
      <c r="L6" s="172"/>
      <c r="M6" s="172"/>
      <c r="N6" s="172"/>
      <c r="O6" s="172"/>
      <c r="P6" s="172"/>
      <c r="Q6" s="172"/>
      <c r="R6" s="173"/>
      <c r="S6" s="169"/>
      <c r="T6" s="169"/>
      <c r="U6" s="171"/>
      <c r="V6" s="172"/>
      <c r="W6" s="172"/>
      <c r="X6" s="172"/>
      <c r="Y6" s="172"/>
      <c r="Z6" s="172"/>
      <c r="AA6" s="172"/>
      <c r="AB6" s="172"/>
      <c r="AC6" s="172"/>
      <c r="AD6" s="172"/>
      <c r="AE6" s="172"/>
      <c r="AF6" s="172"/>
      <c r="AG6" s="172"/>
      <c r="AH6" s="172"/>
      <c r="AI6" s="172"/>
      <c r="AJ6" s="172"/>
      <c r="AK6" s="173"/>
      <c r="AL6" s="169"/>
    </row>
    <row r="7" spans="1:38" ht="15" x14ac:dyDescent="0.25">
      <c r="A7" s="169"/>
      <c r="B7" s="270" t="str">
        <f>'PRODUCTS &amp; VOLUME'!B23</f>
        <v>1.</v>
      </c>
      <c r="C7" s="20" t="s">
        <v>117</v>
      </c>
      <c r="D7" s="169"/>
      <c r="E7" s="169"/>
      <c r="F7" s="169"/>
      <c r="G7" s="169"/>
      <c r="H7" s="169"/>
      <c r="I7" s="169"/>
      <c r="J7" s="169"/>
      <c r="K7" s="169"/>
      <c r="L7" s="169"/>
      <c r="M7" s="169"/>
      <c r="N7" s="169"/>
      <c r="O7" s="169"/>
      <c r="P7" s="169"/>
      <c r="Q7" s="169"/>
      <c r="R7" s="174"/>
      <c r="S7" s="169"/>
      <c r="T7" s="169"/>
      <c r="U7" s="270" t="str">
        <f>'PRODUCTS &amp; VOLUME'!B26</f>
        <v>4.</v>
      </c>
      <c r="V7" s="20" t="s">
        <v>117</v>
      </c>
      <c r="W7" s="169"/>
      <c r="X7" s="169"/>
      <c r="Y7" s="169"/>
      <c r="Z7" s="169"/>
      <c r="AA7" s="169"/>
      <c r="AB7" s="169"/>
      <c r="AC7" s="169"/>
      <c r="AD7" s="169"/>
      <c r="AE7" s="169"/>
      <c r="AF7" s="169"/>
      <c r="AG7" s="169"/>
      <c r="AH7" s="169"/>
      <c r="AI7" s="169"/>
      <c r="AJ7" s="169"/>
      <c r="AK7" s="174"/>
      <c r="AL7" s="169"/>
    </row>
    <row r="8" spans="1:38" x14ac:dyDescent="0.25">
      <c r="A8" s="169"/>
      <c r="B8" s="271"/>
      <c r="C8" s="146"/>
      <c r="D8" s="169"/>
      <c r="E8" s="169"/>
      <c r="F8" s="169"/>
      <c r="G8" s="169"/>
      <c r="H8" s="169"/>
      <c r="I8" s="169"/>
      <c r="J8" s="169"/>
      <c r="K8" s="169"/>
      <c r="L8" s="169"/>
      <c r="M8" s="169"/>
      <c r="N8" s="169"/>
      <c r="O8" s="169"/>
      <c r="P8" s="169"/>
      <c r="Q8" s="169"/>
      <c r="R8" s="174"/>
      <c r="S8" s="169"/>
      <c r="T8" s="169"/>
      <c r="U8" s="271"/>
      <c r="V8" s="146"/>
      <c r="W8" s="169"/>
      <c r="X8" s="169"/>
      <c r="Y8" s="169"/>
      <c r="Z8" s="169"/>
      <c r="AA8" s="169"/>
      <c r="AB8" s="169"/>
      <c r="AC8" s="169"/>
      <c r="AD8" s="169"/>
      <c r="AE8" s="169"/>
      <c r="AF8" s="169"/>
      <c r="AG8" s="169"/>
      <c r="AH8" s="169"/>
      <c r="AI8" s="169"/>
      <c r="AJ8" s="169"/>
      <c r="AK8" s="174"/>
      <c r="AL8" s="169"/>
    </row>
    <row r="9" spans="1:38" x14ac:dyDescent="0.25">
      <c r="A9" s="169"/>
      <c r="B9" s="271"/>
      <c r="C9" s="115"/>
      <c r="D9" s="116" t="s">
        <v>94</v>
      </c>
      <c r="E9" s="115"/>
      <c r="F9" s="116" t="s">
        <v>33</v>
      </c>
      <c r="G9" s="117"/>
      <c r="H9" s="118" t="s">
        <v>102</v>
      </c>
      <c r="I9" s="169"/>
      <c r="J9" s="243" t="s">
        <v>105</v>
      </c>
      <c r="K9" s="244"/>
      <c r="L9" s="243" t="s">
        <v>106</v>
      </c>
      <c r="M9" s="244"/>
      <c r="N9" s="169"/>
      <c r="O9" s="118" t="s">
        <v>111</v>
      </c>
      <c r="P9" s="118" t="s">
        <v>113</v>
      </c>
      <c r="Q9" s="118" t="s">
        <v>112</v>
      </c>
      <c r="R9" s="174"/>
      <c r="S9" s="169"/>
      <c r="T9" s="169"/>
      <c r="U9" s="271"/>
      <c r="V9" s="115"/>
      <c r="W9" s="116" t="s">
        <v>94</v>
      </c>
      <c r="X9" s="115"/>
      <c r="Y9" s="116" t="s">
        <v>33</v>
      </c>
      <c r="Z9" s="117"/>
      <c r="AA9" s="118" t="s">
        <v>102</v>
      </c>
      <c r="AB9" s="169"/>
      <c r="AC9" s="243" t="s">
        <v>105</v>
      </c>
      <c r="AD9" s="244"/>
      <c r="AE9" s="243" t="s">
        <v>106</v>
      </c>
      <c r="AF9" s="244"/>
      <c r="AG9" s="169"/>
      <c r="AH9" s="118" t="s">
        <v>111</v>
      </c>
      <c r="AI9" s="118" t="s">
        <v>113</v>
      </c>
      <c r="AJ9" s="118" t="s">
        <v>112</v>
      </c>
      <c r="AK9" s="174"/>
      <c r="AL9" s="169"/>
    </row>
    <row r="10" spans="1:38" x14ac:dyDescent="0.25">
      <c r="A10" s="169"/>
      <c r="B10" s="271"/>
      <c r="C10" s="120" t="s">
        <v>2</v>
      </c>
      <c r="D10" s="120" t="s">
        <v>95</v>
      </c>
      <c r="E10" s="121" t="s">
        <v>27</v>
      </c>
      <c r="F10" s="120" t="s">
        <v>34</v>
      </c>
      <c r="G10" s="122" t="s">
        <v>38</v>
      </c>
      <c r="H10" s="122" t="s">
        <v>38</v>
      </c>
      <c r="I10" s="169"/>
      <c r="J10" s="266" t="s">
        <v>104</v>
      </c>
      <c r="K10" s="267"/>
      <c r="L10" s="266" t="s">
        <v>104</v>
      </c>
      <c r="M10" s="267"/>
      <c r="N10" s="169"/>
      <c r="O10" s="122" t="s">
        <v>112</v>
      </c>
      <c r="P10" s="122" t="s">
        <v>112</v>
      </c>
      <c r="Q10" s="122" t="s">
        <v>114</v>
      </c>
      <c r="R10" s="174"/>
      <c r="S10" s="169"/>
      <c r="T10" s="169"/>
      <c r="U10" s="271"/>
      <c r="V10" s="120" t="s">
        <v>2</v>
      </c>
      <c r="W10" s="120" t="s">
        <v>95</v>
      </c>
      <c r="X10" s="121" t="s">
        <v>27</v>
      </c>
      <c r="Y10" s="120" t="s">
        <v>34</v>
      </c>
      <c r="Z10" s="122" t="s">
        <v>38</v>
      </c>
      <c r="AA10" s="122" t="s">
        <v>38</v>
      </c>
      <c r="AB10" s="169"/>
      <c r="AC10" s="266" t="s">
        <v>104</v>
      </c>
      <c r="AD10" s="267"/>
      <c r="AE10" s="266" t="s">
        <v>104</v>
      </c>
      <c r="AF10" s="267"/>
      <c r="AG10" s="169"/>
      <c r="AH10" s="122" t="s">
        <v>112</v>
      </c>
      <c r="AI10" s="122" t="s">
        <v>112</v>
      </c>
      <c r="AJ10" s="122" t="s">
        <v>114</v>
      </c>
      <c r="AK10" s="174"/>
      <c r="AL10" s="169"/>
    </row>
    <row r="11" spans="1:38" x14ac:dyDescent="0.25">
      <c r="A11" s="169"/>
      <c r="B11" s="271"/>
      <c r="C11" s="123" t="str">
        <f>IF('PRODUCTS &amp; VOLUME'!C23="","",'PRODUCTS &amp; VOLUME'!C23)</f>
        <v/>
      </c>
      <c r="D11" s="124" t="str">
        <f>IF('PRODUCTS &amp; VOLUME'!D23="","",'PRODUCTS &amp; VOLUME'!D23)</f>
        <v/>
      </c>
      <c r="E11" s="125">
        <f>'PRODUCTS &amp; VOLUME'!J23</f>
        <v>0</v>
      </c>
      <c r="F11" s="125" t="str">
        <f>'PRODUCTS &amp; VOLUME'!L23</f>
        <v/>
      </c>
      <c r="G11" s="126" t="str">
        <f>IF('PRODUCTS &amp; VOLUME'!K23="","",'PRODUCTS &amp; VOLUME'!K23)</f>
        <v/>
      </c>
      <c r="H11" s="126">
        <f>IF(G11="YES",(E11/110%),E11)</f>
        <v>0</v>
      </c>
      <c r="I11" s="169"/>
      <c r="J11" s="127"/>
      <c r="K11" s="128"/>
      <c r="L11" s="128"/>
      <c r="M11" s="129"/>
      <c r="N11" s="169"/>
      <c r="O11" s="141"/>
      <c r="P11" s="141"/>
      <c r="Q11" s="136"/>
      <c r="R11" s="174"/>
      <c r="S11" s="169"/>
      <c r="T11" s="169"/>
      <c r="U11" s="271"/>
      <c r="V11" s="123" t="str">
        <f>IF('PRODUCTS &amp; VOLUME'!C26="","",'PRODUCTS &amp; VOLUME'!C26)</f>
        <v/>
      </c>
      <c r="W11" s="124" t="str">
        <f>IF('PRODUCTS &amp; VOLUME'!D26="","",'PRODUCTS &amp; VOLUME'!D26)</f>
        <v/>
      </c>
      <c r="X11" s="125">
        <f>'PRODUCTS &amp; VOLUME'!AC23</f>
        <v>0</v>
      </c>
      <c r="Y11" s="125">
        <f>'PRODUCTS &amp; VOLUME'!J26</f>
        <v>0</v>
      </c>
      <c r="Z11" s="126" t="str">
        <f>IF('PRODUCTS &amp; VOLUME'!K26="","",'PRODUCTS &amp; VOLUME'!K26)</f>
        <v/>
      </c>
      <c r="AA11" s="126">
        <f>IF(Z11="YES",(X11/110%),X11)</f>
        <v>0</v>
      </c>
      <c r="AB11" s="169"/>
      <c r="AC11" s="127"/>
      <c r="AD11" s="128"/>
      <c r="AE11" s="128"/>
      <c r="AF11" s="129"/>
      <c r="AG11" s="169"/>
      <c r="AH11" s="141"/>
      <c r="AI11" s="141"/>
      <c r="AJ11" s="136"/>
      <c r="AK11" s="174"/>
      <c r="AL11" s="169"/>
    </row>
    <row r="12" spans="1:38" x14ac:dyDescent="0.25">
      <c r="A12" s="169"/>
      <c r="B12" s="271"/>
      <c r="C12" s="132" t="s">
        <v>103</v>
      </c>
      <c r="D12" s="133"/>
      <c r="E12" s="134"/>
      <c r="F12" s="135" t="str">
        <f>IFERROR(E12/D12,"")</f>
        <v/>
      </c>
      <c r="G12" s="136"/>
      <c r="H12" s="126">
        <f>IF(G12="YES",(E12/110%),E12)</f>
        <v>0</v>
      </c>
      <c r="I12" s="169"/>
      <c r="J12" s="137">
        <f>E11-E12</f>
        <v>0</v>
      </c>
      <c r="K12" s="138" t="str">
        <f>IFERROR((E11-E12)/E11,"")</f>
        <v/>
      </c>
      <c r="L12" s="152" t="str">
        <f>IFERROR(F11-F12,"")</f>
        <v/>
      </c>
      <c r="M12" s="138" t="str">
        <f>IFERROR((F11-F12)/F11,"")</f>
        <v/>
      </c>
      <c r="N12" s="169"/>
      <c r="O12" s="139"/>
      <c r="P12" s="140"/>
      <c r="Q12" s="136"/>
      <c r="R12" s="174"/>
      <c r="S12" s="169"/>
      <c r="T12" s="169"/>
      <c r="U12" s="271"/>
      <c r="V12" s="132" t="s">
        <v>103</v>
      </c>
      <c r="W12" s="133"/>
      <c r="X12" s="134"/>
      <c r="Y12" s="135" t="str">
        <f>IFERROR(X12/W12,"")</f>
        <v/>
      </c>
      <c r="Z12" s="136"/>
      <c r="AA12" s="126">
        <f>IF(Z12="YES",(X12/110%),X12)</f>
        <v>0</v>
      </c>
      <c r="AB12" s="169"/>
      <c r="AC12" s="137">
        <f>X11-X12</f>
        <v>0</v>
      </c>
      <c r="AD12" s="138" t="str">
        <f>IFERROR((X11-X12)/X11,"")</f>
        <v/>
      </c>
      <c r="AE12" s="137" t="str">
        <f>IFERROR(Y11-Y12,"")</f>
        <v/>
      </c>
      <c r="AF12" s="138" t="str">
        <f>IFERROR((Y11-Y12)/Y11,"")</f>
        <v/>
      </c>
      <c r="AG12" s="169"/>
      <c r="AH12" s="139"/>
      <c r="AI12" s="140"/>
      <c r="AJ12" s="136"/>
      <c r="AK12" s="174"/>
      <c r="AL12" s="169"/>
    </row>
    <row r="13" spans="1:38" ht="15" customHeight="1" x14ac:dyDescent="0.25">
      <c r="A13" s="169"/>
      <c r="B13" s="272"/>
      <c r="C13" s="132" t="s">
        <v>110</v>
      </c>
      <c r="D13" s="133"/>
      <c r="E13" s="134"/>
      <c r="F13" s="135" t="str">
        <f>IFERROR(E13/D13,"")</f>
        <v/>
      </c>
      <c r="G13" s="136"/>
      <c r="H13" s="126">
        <f>IF(G13="YES",(E13/110%),E13)</f>
        <v>0</v>
      </c>
      <c r="I13" s="169"/>
      <c r="J13" s="137">
        <f>E11-E13</f>
        <v>0</v>
      </c>
      <c r="K13" s="138" t="str">
        <f>IFERROR((E11-E13)/E12,"")</f>
        <v/>
      </c>
      <c r="L13" s="152" t="str">
        <f>IFERROR(F11-F13,"")</f>
        <v/>
      </c>
      <c r="M13" s="138" t="str">
        <f>IFERROR((F11-F13)/F12,"")</f>
        <v/>
      </c>
      <c r="N13" s="169"/>
      <c r="O13" s="141"/>
      <c r="P13" s="142"/>
      <c r="Q13" s="136"/>
      <c r="R13" s="174"/>
      <c r="S13" s="169"/>
      <c r="T13" s="169"/>
      <c r="U13" s="272"/>
      <c r="V13" s="132" t="s">
        <v>110</v>
      </c>
      <c r="W13" s="133"/>
      <c r="X13" s="134"/>
      <c r="Y13" s="135" t="str">
        <f>IFERROR(X13/W13,"")</f>
        <v/>
      </c>
      <c r="Z13" s="136"/>
      <c r="AA13" s="126">
        <f>IF(Z13="YES",(X13/110%),X13)</f>
        <v>0</v>
      </c>
      <c r="AB13" s="169"/>
      <c r="AC13" s="137">
        <f>X11-X13</f>
        <v>0</v>
      </c>
      <c r="AD13" s="138" t="str">
        <f>IFERROR((X11-X13)/X12,"")</f>
        <v/>
      </c>
      <c r="AE13" s="137" t="str">
        <f>IFERROR(Y11-Y13,"")</f>
        <v/>
      </c>
      <c r="AF13" s="138" t="str">
        <f>IFERROR((Y11-Y13)/Y12,"")</f>
        <v/>
      </c>
      <c r="AG13" s="169"/>
      <c r="AH13" s="141"/>
      <c r="AI13" s="142"/>
      <c r="AJ13" s="136"/>
      <c r="AK13" s="174"/>
      <c r="AL13" s="169"/>
    </row>
    <row r="14" spans="1:38" x14ac:dyDescent="0.25">
      <c r="A14" s="169"/>
      <c r="B14" s="175"/>
      <c r="C14" s="169"/>
      <c r="D14" s="169"/>
      <c r="E14" s="169"/>
      <c r="F14" s="169"/>
      <c r="G14" s="169"/>
      <c r="H14" s="169"/>
      <c r="I14" s="169"/>
      <c r="J14" s="169"/>
      <c r="K14" s="169"/>
      <c r="L14" s="169"/>
      <c r="M14" s="169"/>
      <c r="N14" s="169"/>
      <c r="O14" s="169"/>
      <c r="P14" s="169"/>
      <c r="Q14" s="169"/>
      <c r="R14" s="174"/>
      <c r="S14" s="169"/>
      <c r="T14" s="169"/>
      <c r="U14" s="175"/>
      <c r="V14" s="169"/>
      <c r="W14" s="169"/>
      <c r="X14" s="169"/>
      <c r="Y14" s="169"/>
      <c r="Z14" s="169"/>
      <c r="AA14" s="169"/>
      <c r="AB14" s="169"/>
      <c r="AC14" s="169"/>
      <c r="AD14" s="169"/>
      <c r="AE14" s="169"/>
      <c r="AF14" s="169"/>
      <c r="AG14" s="169"/>
      <c r="AH14" s="169"/>
      <c r="AI14" s="169"/>
      <c r="AJ14" s="169"/>
      <c r="AK14" s="174"/>
      <c r="AL14" s="169"/>
    </row>
    <row r="15" spans="1:38" ht="137.25" x14ac:dyDescent="0.25">
      <c r="A15" s="169"/>
      <c r="B15" s="176"/>
      <c r="C15" s="147" t="s">
        <v>118</v>
      </c>
      <c r="D15" s="177" t="s">
        <v>107</v>
      </c>
      <c r="E15" s="177" t="s">
        <v>108</v>
      </c>
      <c r="F15" s="177" t="s">
        <v>109</v>
      </c>
      <c r="G15" s="169"/>
      <c r="H15" s="249" t="s">
        <v>150</v>
      </c>
      <c r="I15" s="250"/>
      <c r="J15" s="250"/>
      <c r="K15" s="250"/>
      <c r="L15" s="250"/>
      <c r="M15" s="250"/>
      <c r="N15" s="250"/>
      <c r="O15" s="250"/>
      <c r="P15" s="250"/>
      <c r="Q15" s="251"/>
      <c r="R15" s="174"/>
      <c r="S15" s="169"/>
      <c r="T15" s="169"/>
      <c r="U15" s="170"/>
      <c r="V15" s="147" t="s">
        <v>118</v>
      </c>
      <c r="W15" s="177" t="s">
        <v>107</v>
      </c>
      <c r="X15" s="177" t="s">
        <v>108</v>
      </c>
      <c r="Y15" s="177" t="s">
        <v>109</v>
      </c>
      <c r="Z15" s="169"/>
      <c r="AA15" s="249" t="s">
        <v>150</v>
      </c>
      <c r="AB15" s="250"/>
      <c r="AC15" s="250"/>
      <c r="AD15" s="250"/>
      <c r="AE15" s="250"/>
      <c r="AF15" s="250"/>
      <c r="AG15" s="250"/>
      <c r="AH15" s="250"/>
      <c r="AI15" s="250"/>
      <c r="AJ15" s="251"/>
      <c r="AK15" s="174"/>
      <c r="AL15" s="169"/>
    </row>
    <row r="16" spans="1:38" ht="15" customHeight="1" x14ac:dyDescent="0.25">
      <c r="A16" s="169"/>
      <c r="B16" s="268" t="s">
        <v>127</v>
      </c>
      <c r="C16" s="178" t="s">
        <v>122</v>
      </c>
      <c r="D16" s="153"/>
      <c r="E16" s="153"/>
      <c r="F16" s="153"/>
      <c r="G16" s="169"/>
      <c r="H16" s="169"/>
      <c r="I16" s="169"/>
      <c r="J16" s="169"/>
      <c r="K16" s="169"/>
      <c r="L16" s="169"/>
      <c r="M16" s="169"/>
      <c r="N16" s="169"/>
      <c r="O16" s="169"/>
      <c r="P16" s="169"/>
      <c r="Q16" s="169"/>
      <c r="R16" s="174"/>
      <c r="S16" s="169"/>
      <c r="T16" s="169"/>
      <c r="U16" s="268" t="s">
        <v>127</v>
      </c>
      <c r="V16" s="178" t="s">
        <v>122</v>
      </c>
      <c r="W16" s="153"/>
      <c r="X16" s="153"/>
      <c r="Y16" s="153"/>
      <c r="Z16" s="169"/>
      <c r="AA16" s="169"/>
      <c r="AB16" s="169"/>
      <c r="AC16" s="169"/>
      <c r="AD16" s="169"/>
      <c r="AE16" s="169"/>
      <c r="AF16" s="169"/>
      <c r="AG16" s="169"/>
      <c r="AH16" s="169"/>
      <c r="AI16" s="169"/>
      <c r="AJ16" s="169"/>
      <c r="AK16" s="174"/>
      <c r="AL16" s="169"/>
    </row>
    <row r="17" spans="1:38" x14ac:dyDescent="0.25">
      <c r="A17" s="169"/>
      <c r="B17" s="248"/>
      <c r="C17" s="169" t="s">
        <v>123</v>
      </c>
      <c r="D17" s="134"/>
      <c r="E17" s="134"/>
      <c r="F17" s="134"/>
      <c r="G17" s="169"/>
      <c r="H17" s="169"/>
      <c r="I17" s="169"/>
      <c r="J17" s="169"/>
      <c r="K17" s="169"/>
      <c r="L17" s="169"/>
      <c r="M17" s="169"/>
      <c r="N17" s="169"/>
      <c r="O17" s="169"/>
      <c r="P17" s="169"/>
      <c r="Q17" s="169"/>
      <c r="R17" s="174"/>
      <c r="S17" s="169"/>
      <c r="T17" s="169"/>
      <c r="U17" s="248"/>
      <c r="V17" s="169" t="s">
        <v>123</v>
      </c>
      <c r="W17" s="134"/>
      <c r="X17" s="134"/>
      <c r="Y17" s="134"/>
      <c r="Z17" s="169"/>
      <c r="AA17" s="169"/>
      <c r="AB17" s="169"/>
      <c r="AC17" s="169"/>
      <c r="AD17" s="169"/>
      <c r="AE17" s="169"/>
      <c r="AF17" s="169"/>
      <c r="AG17" s="169"/>
      <c r="AH17" s="169"/>
      <c r="AI17" s="169"/>
      <c r="AJ17" s="169"/>
      <c r="AK17" s="174"/>
      <c r="AL17" s="169"/>
    </row>
    <row r="18" spans="1:38" x14ac:dyDescent="0.25">
      <c r="A18" s="169"/>
      <c r="B18" s="248"/>
      <c r="C18" s="169" t="s">
        <v>119</v>
      </c>
      <c r="D18" s="148"/>
      <c r="E18" s="148"/>
      <c r="F18" s="148"/>
      <c r="G18" s="169"/>
      <c r="H18" s="169"/>
      <c r="I18" s="169"/>
      <c r="J18" s="169"/>
      <c r="K18" s="169"/>
      <c r="L18" s="169"/>
      <c r="M18" s="169"/>
      <c r="N18" s="169"/>
      <c r="O18" s="169"/>
      <c r="P18" s="169"/>
      <c r="Q18" s="169"/>
      <c r="R18" s="174"/>
      <c r="S18" s="169"/>
      <c r="T18" s="169"/>
      <c r="U18" s="248"/>
      <c r="V18" s="169" t="s">
        <v>119</v>
      </c>
      <c r="W18" s="148"/>
      <c r="X18" s="148"/>
      <c r="Y18" s="148"/>
      <c r="Z18" s="169"/>
      <c r="AA18" s="169"/>
      <c r="AB18" s="169"/>
      <c r="AC18" s="169"/>
      <c r="AD18" s="169"/>
      <c r="AE18" s="169"/>
      <c r="AF18" s="169"/>
      <c r="AG18" s="169"/>
      <c r="AH18" s="169"/>
      <c r="AI18" s="169"/>
      <c r="AJ18" s="169"/>
      <c r="AK18" s="174"/>
      <c r="AL18" s="169"/>
    </row>
    <row r="19" spans="1:38" x14ac:dyDescent="0.25">
      <c r="A19" s="169"/>
      <c r="B19" s="248"/>
      <c r="C19" s="169" t="s">
        <v>121</v>
      </c>
      <c r="D19" s="135">
        <f>D17-D18</f>
        <v>0</v>
      </c>
      <c r="E19" s="135">
        <f>E17-E18</f>
        <v>0</v>
      </c>
      <c r="F19" s="135">
        <v>0</v>
      </c>
      <c r="G19" s="169"/>
      <c r="H19" s="169"/>
      <c r="I19" s="169"/>
      <c r="J19" s="169"/>
      <c r="K19" s="169"/>
      <c r="L19" s="169"/>
      <c r="M19" s="169"/>
      <c r="N19" s="169"/>
      <c r="O19" s="169"/>
      <c r="P19" s="169"/>
      <c r="Q19" s="169"/>
      <c r="R19" s="174"/>
      <c r="S19" s="169"/>
      <c r="T19" s="169"/>
      <c r="U19" s="248"/>
      <c r="V19" s="169" t="s">
        <v>121</v>
      </c>
      <c r="W19" s="135">
        <f>W17-W18</f>
        <v>0</v>
      </c>
      <c r="X19" s="135">
        <f>X17-X18</f>
        <v>0</v>
      </c>
      <c r="Y19" s="135">
        <v>0</v>
      </c>
      <c r="Z19" s="169"/>
      <c r="AA19" s="169"/>
      <c r="AB19" s="169"/>
      <c r="AC19" s="169"/>
      <c r="AD19" s="169"/>
      <c r="AE19" s="169"/>
      <c r="AF19" s="169"/>
      <c r="AG19" s="169"/>
      <c r="AH19" s="169"/>
      <c r="AI19" s="169"/>
      <c r="AJ19" s="169"/>
      <c r="AK19" s="174"/>
      <c r="AL19" s="169"/>
    </row>
    <row r="20" spans="1:38" x14ac:dyDescent="0.25">
      <c r="A20" s="169"/>
      <c r="B20" s="248"/>
      <c r="C20" s="169" t="s">
        <v>120</v>
      </c>
      <c r="D20" s="149" t="str">
        <f>IFERROR((D16-D19)/D16,"")</f>
        <v/>
      </c>
      <c r="E20" s="149" t="str">
        <f>IFERROR((E16-E19)/E16,"")</f>
        <v/>
      </c>
      <c r="F20" s="150" t="s">
        <v>28</v>
      </c>
      <c r="G20" s="169"/>
      <c r="H20" s="169"/>
      <c r="I20" s="169"/>
      <c r="J20" s="169"/>
      <c r="K20" s="169"/>
      <c r="L20" s="169"/>
      <c r="M20" s="169"/>
      <c r="N20" s="169"/>
      <c r="O20" s="169"/>
      <c r="P20" s="169"/>
      <c r="Q20" s="169"/>
      <c r="R20" s="174"/>
      <c r="S20" s="169"/>
      <c r="T20" s="169"/>
      <c r="U20" s="248"/>
      <c r="V20" s="169" t="s">
        <v>120</v>
      </c>
      <c r="W20" s="149" t="str">
        <f>IFERROR((W16-W19)/W16,"")</f>
        <v/>
      </c>
      <c r="X20" s="149" t="str">
        <f>IFERROR((X16-X19)/X16,"")</f>
        <v/>
      </c>
      <c r="Y20" s="150" t="s">
        <v>28</v>
      </c>
      <c r="Z20" s="169"/>
      <c r="AA20" s="169"/>
      <c r="AB20" s="169"/>
      <c r="AC20" s="169"/>
      <c r="AD20" s="169"/>
      <c r="AE20" s="169"/>
      <c r="AF20" s="169"/>
      <c r="AG20" s="169"/>
      <c r="AH20" s="169"/>
      <c r="AI20" s="169"/>
      <c r="AJ20" s="169"/>
      <c r="AK20" s="174"/>
      <c r="AL20" s="169"/>
    </row>
    <row r="21" spans="1:38" ht="7.5" customHeight="1" x14ac:dyDescent="0.25">
      <c r="A21" s="169"/>
      <c r="B21" s="248"/>
      <c r="C21" s="169"/>
      <c r="D21" s="169"/>
      <c r="E21" s="169"/>
      <c r="F21" s="169"/>
      <c r="G21" s="169"/>
      <c r="H21" s="169"/>
      <c r="I21" s="169"/>
      <c r="J21" s="169"/>
      <c r="K21" s="169"/>
      <c r="L21" s="169"/>
      <c r="M21" s="169"/>
      <c r="N21" s="169"/>
      <c r="O21" s="169"/>
      <c r="P21" s="169"/>
      <c r="Q21" s="169"/>
      <c r="R21" s="174"/>
      <c r="S21" s="169"/>
      <c r="T21" s="169"/>
      <c r="U21" s="248"/>
      <c r="V21" s="169"/>
      <c r="W21" s="169"/>
      <c r="X21" s="169"/>
      <c r="Y21" s="169"/>
      <c r="Z21" s="169"/>
      <c r="AA21" s="169"/>
      <c r="AB21" s="169"/>
      <c r="AC21" s="169"/>
      <c r="AD21" s="169"/>
      <c r="AE21" s="169"/>
      <c r="AF21" s="169"/>
      <c r="AG21" s="169"/>
      <c r="AH21" s="169"/>
      <c r="AI21" s="169"/>
      <c r="AJ21" s="169"/>
      <c r="AK21" s="174"/>
      <c r="AL21" s="169"/>
    </row>
    <row r="22" spans="1:38" x14ac:dyDescent="0.25">
      <c r="A22" s="169"/>
      <c r="B22" s="248"/>
      <c r="C22" s="179" t="s">
        <v>124</v>
      </c>
      <c r="D22" s="163"/>
      <c r="E22" s="164"/>
      <c r="F22" s="165"/>
      <c r="G22" s="169"/>
      <c r="H22" s="169"/>
      <c r="I22" s="169"/>
      <c r="J22" s="169"/>
      <c r="K22" s="169"/>
      <c r="L22" s="169"/>
      <c r="M22" s="169"/>
      <c r="N22" s="169"/>
      <c r="O22" s="169"/>
      <c r="P22" s="169"/>
      <c r="Q22" s="169"/>
      <c r="R22" s="174"/>
      <c r="S22" s="169"/>
      <c r="T22" s="169"/>
      <c r="U22" s="248"/>
      <c r="V22" s="179" t="s">
        <v>124</v>
      </c>
      <c r="W22" s="163"/>
      <c r="X22" s="164"/>
      <c r="Y22" s="165"/>
      <c r="Z22" s="169"/>
      <c r="AA22" s="169"/>
      <c r="AB22" s="169"/>
      <c r="AC22" s="169"/>
      <c r="AD22" s="169"/>
      <c r="AE22" s="169"/>
      <c r="AF22" s="169"/>
      <c r="AG22" s="169"/>
      <c r="AH22" s="169"/>
      <c r="AI22" s="169"/>
      <c r="AJ22" s="169"/>
      <c r="AK22" s="174"/>
      <c r="AL22" s="169"/>
    </row>
    <row r="23" spans="1:38" x14ac:dyDescent="0.25">
      <c r="A23" s="169"/>
      <c r="B23" s="248"/>
      <c r="C23" s="179" t="s">
        <v>125</v>
      </c>
      <c r="D23" s="166" t="str">
        <f>IFERROR(D20-D22,"")</f>
        <v/>
      </c>
      <c r="E23" s="166" t="str">
        <f>IFERROR(E20-E22,"")</f>
        <v/>
      </c>
      <c r="F23" s="165"/>
      <c r="G23" s="169"/>
      <c r="H23" s="169"/>
      <c r="I23" s="169"/>
      <c r="J23" s="169"/>
      <c r="K23" s="169"/>
      <c r="L23" s="169"/>
      <c r="M23" s="169"/>
      <c r="N23" s="169"/>
      <c r="O23" s="169"/>
      <c r="P23" s="169"/>
      <c r="Q23" s="169"/>
      <c r="R23" s="174"/>
      <c r="S23" s="169"/>
      <c r="T23" s="169"/>
      <c r="U23" s="248"/>
      <c r="V23" s="179" t="s">
        <v>125</v>
      </c>
      <c r="W23" s="166" t="str">
        <f>IFERROR(W20-W22,"")</f>
        <v/>
      </c>
      <c r="X23" s="166" t="str">
        <f>IFERROR(X20-X22,"")</f>
        <v/>
      </c>
      <c r="Y23" s="165"/>
      <c r="Z23" s="169"/>
      <c r="AA23" s="169"/>
      <c r="AB23" s="169"/>
      <c r="AC23" s="169"/>
      <c r="AD23" s="169"/>
      <c r="AE23" s="169"/>
      <c r="AF23" s="169"/>
      <c r="AG23" s="169"/>
      <c r="AH23" s="169"/>
      <c r="AI23" s="169"/>
      <c r="AJ23" s="169"/>
      <c r="AK23" s="174"/>
      <c r="AL23" s="169"/>
    </row>
    <row r="24" spans="1:38" x14ac:dyDescent="0.25">
      <c r="A24" s="169"/>
      <c r="B24" s="269"/>
      <c r="C24" s="179" t="s">
        <v>126</v>
      </c>
      <c r="D24" s="167" t="str">
        <f>IFERROR((D19*D22)-(D19*D20),"")</f>
        <v/>
      </c>
      <c r="E24" s="167" t="str">
        <f>IFERROR((E19*E22)-(E19*E20),"")</f>
        <v/>
      </c>
      <c r="F24" s="165"/>
      <c r="G24" s="169"/>
      <c r="H24" s="169"/>
      <c r="I24" s="169"/>
      <c r="J24" s="169"/>
      <c r="K24" s="169"/>
      <c r="L24" s="169"/>
      <c r="M24" s="169"/>
      <c r="N24" s="169"/>
      <c r="O24" s="169"/>
      <c r="P24" s="169"/>
      <c r="Q24" s="169"/>
      <c r="R24" s="174"/>
      <c r="S24" s="169"/>
      <c r="T24" s="169"/>
      <c r="U24" s="269"/>
      <c r="V24" s="179" t="s">
        <v>126</v>
      </c>
      <c r="W24" s="167" t="str">
        <f>IFERROR((W19*W22)-(W19*W20),"")</f>
        <v/>
      </c>
      <c r="X24" s="167" t="str">
        <f>IFERROR((X19*X22)-(X19*X20),"")</f>
        <v/>
      </c>
      <c r="Y24" s="165"/>
      <c r="Z24" s="169"/>
      <c r="AA24" s="169"/>
      <c r="AB24" s="169"/>
      <c r="AC24" s="169"/>
      <c r="AD24" s="169"/>
      <c r="AE24" s="169"/>
      <c r="AF24" s="169"/>
      <c r="AG24" s="169"/>
      <c r="AH24" s="169"/>
      <c r="AI24" s="169"/>
      <c r="AJ24" s="169"/>
      <c r="AK24" s="174"/>
      <c r="AL24" s="169"/>
    </row>
    <row r="25" spans="1:38" ht="8.25" customHeight="1" x14ac:dyDescent="0.25">
      <c r="A25" s="169"/>
      <c r="B25" s="175"/>
      <c r="C25" s="169"/>
      <c r="D25" s="169"/>
      <c r="E25" s="169"/>
      <c r="F25" s="169"/>
      <c r="G25" s="169"/>
      <c r="H25" s="169"/>
      <c r="I25" s="169"/>
      <c r="J25" s="169"/>
      <c r="K25" s="169"/>
      <c r="L25" s="169"/>
      <c r="M25" s="169"/>
      <c r="N25" s="169"/>
      <c r="O25" s="169"/>
      <c r="P25" s="169"/>
      <c r="Q25" s="169"/>
      <c r="R25" s="174"/>
      <c r="S25" s="169"/>
      <c r="T25" s="169"/>
      <c r="U25" s="175"/>
      <c r="V25" s="169"/>
      <c r="W25" s="169"/>
      <c r="X25" s="169"/>
      <c r="Y25" s="169"/>
      <c r="Z25" s="169"/>
      <c r="AA25" s="169"/>
      <c r="AB25" s="169"/>
      <c r="AC25" s="169"/>
      <c r="AD25" s="169"/>
      <c r="AE25" s="169"/>
      <c r="AF25" s="169"/>
      <c r="AG25" s="169"/>
      <c r="AH25" s="169"/>
      <c r="AI25" s="169"/>
      <c r="AJ25" s="169"/>
      <c r="AK25" s="174"/>
      <c r="AL25" s="169"/>
    </row>
    <row r="26" spans="1:38" ht="13.5" customHeight="1" x14ac:dyDescent="0.25">
      <c r="A26" s="169"/>
      <c r="B26" s="241" t="s">
        <v>135</v>
      </c>
      <c r="C26" s="157" t="s">
        <v>132</v>
      </c>
      <c r="D26" s="158" t="str">
        <f>IFERROR(D19-D24,"")</f>
        <v/>
      </c>
      <c r="E26" s="158" t="str">
        <f>IFERROR(E19-E24,"")</f>
        <v/>
      </c>
      <c r="F26" s="159"/>
      <c r="G26" s="169"/>
      <c r="H26" s="179" t="s">
        <v>141</v>
      </c>
      <c r="I26" s="169"/>
      <c r="J26" s="169"/>
      <c r="K26" s="169"/>
      <c r="L26" s="169"/>
      <c r="M26" s="169"/>
      <c r="N26" s="169"/>
      <c r="O26" s="169"/>
      <c r="P26" s="169"/>
      <c r="Q26" s="169"/>
      <c r="R26" s="174"/>
      <c r="S26" s="169"/>
      <c r="T26" s="169"/>
      <c r="U26" s="241" t="s">
        <v>135</v>
      </c>
      <c r="V26" s="157" t="s">
        <v>132</v>
      </c>
      <c r="W26" s="158" t="str">
        <f>IFERROR(W19-W24,"")</f>
        <v/>
      </c>
      <c r="X26" s="158" t="str">
        <f>IFERROR(X19-X24,"")</f>
        <v/>
      </c>
      <c r="Y26" s="159"/>
      <c r="Z26" s="169"/>
      <c r="AA26" s="179" t="s">
        <v>141</v>
      </c>
      <c r="AB26" s="169"/>
      <c r="AC26" s="169"/>
      <c r="AD26" s="169"/>
      <c r="AE26" s="169"/>
      <c r="AF26" s="169"/>
      <c r="AG26" s="169"/>
      <c r="AH26" s="169"/>
      <c r="AI26" s="169"/>
      <c r="AJ26" s="169"/>
      <c r="AK26" s="174"/>
      <c r="AL26" s="169"/>
    </row>
    <row r="27" spans="1:38" ht="13.5" customHeight="1" x14ac:dyDescent="0.25">
      <c r="A27" s="169"/>
      <c r="B27" s="241"/>
      <c r="C27" s="157" t="s">
        <v>133</v>
      </c>
      <c r="D27" s="158" t="str">
        <f>IFERROR(D26-D32,"")</f>
        <v/>
      </c>
      <c r="E27" s="158" t="str">
        <f>IFERROR(E26-E32,"")</f>
        <v/>
      </c>
      <c r="F27" s="159"/>
      <c r="G27" s="169"/>
      <c r="H27" s="169" t="s">
        <v>142</v>
      </c>
      <c r="I27" s="169"/>
      <c r="J27" s="169"/>
      <c r="K27" s="169"/>
      <c r="L27" s="169"/>
      <c r="M27" s="169"/>
      <c r="N27" s="169"/>
      <c r="O27" s="169"/>
      <c r="P27" s="169"/>
      <c r="Q27" s="169"/>
      <c r="R27" s="174"/>
      <c r="S27" s="169"/>
      <c r="T27" s="169"/>
      <c r="U27" s="241"/>
      <c r="V27" s="157" t="s">
        <v>133</v>
      </c>
      <c r="W27" s="158" t="str">
        <f>IFERROR(W26-W32,"")</f>
        <v/>
      </c>
      <c r="X27" s="158" t="str">
        <f>IFERROR(X26-X32,"")</f>
        <v/>
      </c>
      <c r="Y27" s="159"/>
      <c r="Z27" s="169"/>
      <c r="AA27" s="169" t="s">
        <v>142</v>
      </c>
      <c r="AB27" s="169"/>
      <c r="AC27" s="169"/>
      <c r="AD27" s="169"/>
      <c r="AE27" s="169"/>
      <c r="AF27" s="169"/>
      <c r="AG27" s="169"/>
      <c r="AH27" s="169"/>
      <c r="AI27" s="169"/>
      <c r="AJ27" s="169"/>
      <c r="AK27" s="174"/>
      <c r="AL27" s="169"/>
    </row>
    <row r="28" spans="1:38" ht="13.5" customHeight="1" x14ac:dyDescent="0.25">
      <c r="A28" s="169"/>
      <c r="B28" s="241"/>
      <c r="C28" s="157" t="s">
        <v>134</v>
      </c>
      <c r="D28" s="160" t="str">
        <f>IFERROR((D26-D32)/D26,"")</f>
        <v/>
      </c>
      <c r="E28" s="160" t="str">
        <f>IFERROR((E26-E32)/E26,"")</f>
        <v/>
      </c>
      <c r="F28" s="159"/>
      <c r="G28" s="169"/>
      <c r="H28" s="169" t="s">
        <v>143</v>
      </c>
      <c r="I28" s="169"/>
      <c r="J28" s="169"/>
      <c r="K28" s="169"/>
      <c r="L28" s="169"/>
      <c r="M28" s="169"/>
      <c r="N28" s="169"/>
      <c r="O28" s="169"/>
      <c r="P28" s="169"/>
      <c r="Q28" s="169"/>
      <c r="R28" s="174"/>
      <c r="S28" s="169"/>
      <c r="T28" s="169"/>
      <c r="U28" s="241"/>
      <c r="V28" s="157" t="s">
        <v>134</v>
      </c>
      <c r="W28" s="160" t="str">
        <f>IFERROR((W26-W32)/W26,"")</f>
        <v/>
      </c>
      <c r="X28" s="160" t="str">
        <f>IFERROR((X26-X32)/X26,"")</f>
        <v/>
      </c>
      <c r="Y28" s="159"/>
      <c r="Z28" s="169"/>
      <c r="AA28" s="169" t="s">
        <v>143</v>
      </c>
      <c r="AB28" s="169"/>
      <c r="AC28" s="169"/>
      <c r="AD28" s="169"/>
      <c r="AE28" s="169"/>
      <c r="AF28" s="169"/>
      <c r="AG28" s="169"/>
      <c r="AH28" s="169"/>
      <c r="AI28" s="169"/>
      <c r="AJ28" s="169"/>
      <c r="AK28" s="174"/>
      <c r="AL28" s="169"/>
    </row>
    <row r="29" spans="1:38" ht="13.5" customHeight="1" x14ac:dyDescent="0.25">
      <c r="A29" s="169"/>
      <c r="B29" s="241"/>
      <c r="C29" s="169"/>
      <c r="D29" s="169"/>
      <c r="E29" s="169"/>
      <c r="F29" s="169"/>
      <c r="G29" s="169"/>
      <c r="H29" s="169" t="s">
        <v>148</v>
      </c>
      <c r="I29" s="169"/>
      <c r="J29" s="169"/>
      <c r="K29" s="169"/>
      <c r="L29" s="169"/>
      <c r="M29" s="169"/>
      <c r="N29" s="169"/>
      <c r="O29" s="169"/>
      <c r="P29" s="169"/>
      <c r="Q29" s="169"/>
      <c r="R29" s="174"/>
      <c r="S29" s="169"/>
      <c r="T29" s="169"/>
      <c r="U29" s="241"/>
      <c r="V29" s="169"/>
      <c r="W29" s="169"/>
      <c r="X29" s="169"/>
      <c r="Y29" s="169"/>
      <c r="Z29" s="169"/>
      <c r="AA29" s="169" t="s">
        <v>148</v>
      </c>
      <c r="AB29" s="169"/>
      <c r="AC29" s="169"/>
      <c r="AD29" s="169"/>
      <c r="AE29" s="169"/>
      <c r="AF29" s="169"/>
      <c r="AG29" s="169"/>
      <c r="AH29" s="169"/>
      <c r="AI29" s="169"/>
      <c r="AJ29" s="169"/>
      <c r="AK29" s="174"/>
      <c r="AL29" s="169"/>
    </row>
    <row r="30" spans="1:38" ht="13.5" customHeight="1" x14ac:dyDescent="0.25">
      <c r="A30" s="169"/>
      <c r="B30" s="241"/>
      <c r="C30" s="169" t="s">
        <v>131</v>
      </c>
      <c r="D30" s="149" t="str">
        <f>IFERROR((D19-D32)/D19,"")</f>
        <v/>
      </c>
      <c r="E30" s="149" t="str">
        <f>IFERROR((E19-E32)/E19,"")</f>
        <v/>
      </c>
      <c r="F30" s="149" t="str">
        <f>IFERROR((F17-F32)/F17,"")</f>
        <v/>
      </c>
      <c r="G30" s="169"/>
      <c r="H30" s="169" t="s">
        <v>144</v>
      </c>
      <c r="I30" s="169"/>
      <c r="J30" s="169"/>
      <c r="K30" s="169"/>
      <c r="L30" s="169"/>
      <c r="M30" s="169"/>
      <c r="N30" s="169"/>
      <c r="O30" s="169"/>
      <c r="P30" s="169"/>
      <c r="Q30" s="169"/>
      <c r="R30" s="174"/>
      <c r="S30" s="169"/>
      <c r="T30" s="169"/>
      <c r="U30" s="241"/>
      <c r="V30" s="169" t="s">
        <v>131</v>
      </c>
      <c r="W30" s="183" t="str">
        <f>IFERROR((W19-W32)/W19,"")</f>
        <v/>
      </c>
      <c r="X30" s="183" t="str">
        <f>IFERROR((X19-X32)/X19,"")</f>
        <v/>
      </c>
      <c r="Y30" s="183" t="str">
        <f>IFERROR((Y17-Y32)/Y17,"")</f>
        <v/>
      </c>
      <c r="Z30" s="169"/>
      <c r="AA30" s="169" t="s">
        <v>144</v>
      </c>
      <c r="AB30" s="169"/>
      <c r="AC30" s="169"/>
      <c r="AD30" s="169"/>
      <c r="AE30" s="169"/>
      <c r="AF30" s="169"/>
      <c r="AG30" s="169"/>
      <c r="AH30" s="169"/>
      <c r="AI30" s="169"/>
      <c r="AJ30" s="169"/>
      <c r="AK30" s="174"/>
      <c r="AL30" s="169"/>
    </row>
    <row r="31" spans="1:38" x14ac:dyDescent="0.25">
      <c r="A31" s="169"/>
      <c r="B31" s="241"/>
      <c r="C31" s="169" t="s">
        <v>130</v>
      </c>
      <c r="D31" s="135">
        <f>D19-D32</f>
        <v>0</v>
      </c>
      <c r="E31" s="135">
        <f>E19-E32</f>
        <v>0</v>
      </c>
      <c r="F31" s="135">
        <f>F17-F32</f>
        <v>0</v>
      </c>
      <c r="G31" s="169"/>
      <c r="H31" s="169" t="s">
        <v>149</v>
      </c>
      <c r="I31" s="169"/>
      <c r="J31" s="169"/>
      <c r="K31" s="169"/>
      <c r="L31" s="169"/>
      <c r="M31" s="169"/>
      <c r="N31" s="169"/>
      <c r="O31" s="169"/>
      <c r="P31" s="169"/>
      <c r="Q31" s="169"/>
      <c r="R31" s="174"/>
      <c r="S31" s="169"/>
      <c r="T31" s="169"/>
      <c r="U31" s="241"/>
      <c r="V31" s="169" t="s">
        <v>130</v>
      </c>
      <c r="W31" s="184">
        <f>W19-W32</f>
        <v>0</v>
      </c>
      <c r="X31" s="184">
        <f>X19-X32</f>
        <v>0</v>
      </c>
      <c r="Y31" s="184">
        <f>Y17-Y32</f>
        <v>0</v>
      </c>
      <c r="Z31" s="169"/>
      <c r="AA31" s="169" t="s">
        <v>149</v>
      </c>
      <c r="AB31" s="169"/>
      <c r="AC31" s="169"/>
      <c r="AD31" s="169"/>
      <c r="AE31" s="169"/>
      <c r="AF31" s="169"/>
      <c r="AG31" s="169"/>
      <c r="AH31" s="169"/>
      <c r="AI31" s="169"/>
      <c r="AJ31" s="169"/>
      <c r="AK31" s="174"/>
      <c r="AL31" s="169"/>
    </row>
    <row r="32" spans="1:38" x14ac:dyDescent="0.25">
      <c r="A32" s="169"/>
      <c r="B32" s="241"/>
      <c r="C32" s="169" t="s">
        <v>129</v>
      </c>
      <c r="D32" s="152"/>
      <c r="E32" s="152"/>
      <c r="F32" s="152"/>
      <c r="G32" s="169"/>
      <c r="H32" s="169"/>
      <c r="I32" s="169"/>
      <c r="J32" s="169"/>
      <c r="K32" s="169"/>
      <c r="L32" s="169"/>
      <c r="M32" s="169"/>
      <c r="N32" s="169"/>
      <c r="O32" s="169"/>
      <c r="P32" s="169"/>
      <c r="Q32" s="169"/>
      <c r="R32" s="174"/>
      <c r="S32" s="169"/>
      <c r="T32" s="169"/>
      <c r="U32" s="241"/>
      <c r="V32" s="169" t="s">
        <v>129</v>
      </c>
      <c r="W32" s="185"/>
      <c r="X32" s="185"/>
      <c r="Y32" s="185"/>
      <c r="Z32" s="169"/>
      <c r="AA32" s="169"/>
      <c r="AB32" s="169"/>
      <c r="AC32" s="169"/>
      <c r="AD32" s="169"/>
      <c r="AE32" s="169"/>
      <c r="AF32" s="169"/>
      <c r="AG32" s="169"/>
      <c r="AH32" s="169"/>
      <c r="AI32" s="169"/>
      <c r="AJ32" s="169"/>
      <c r="AK32" s="174"/>
      <c r="AL32" s="169"/>
    </row>
    <row r="33" spans="1:38" x14ac:dyDescent="0.25">
      <c r="A33" s="169"/>
      <c r="B33" s="241"/>
      <c r="C33" s="169"/>
      <c r="D33" s="169"/>
      <c r="E33" s="169"/>
      <c r="F33" s="169"/>
      <c r="G33" s="169"/>
      <c r="H33" s="169"/>
      <c r="I33" s="169"/>
      <c r="J33" s="169"/>
      <c r="K33" s="169"/>
      <c r="L33" s="169"/>
      <c r="M33" s="169"/>
      <c r="N33" s="169"/>
      <c r="O33" s="169"/>
      <c r="P33" s="169"/>
      <c r="Q33" s="169"/>
      <c r="R33" s="174"/>
      <c r="S33" s="169"/>
      <c r="T33" s="169"/>
      <c r="U33" s="241"/>
      <c r="V33" s="169"/>
      <c r="W33" s="169"/>
      <c r="X33" s="169"/>
      <c r="Y33" s="169"/>
      <c r="Z33" s="169"/>
      <c r="AA33" s="169"/>
      <c r="AB33" s="169"/>
      <c r="AC33" s="169"/>
      <c r="AD33" s="169"/>
      <c r="AE33" s="169"/>
      <c r="AF33" s="169"/>
      <c r="AG33" s="169"/>
      <c r="AH33" s="169"/>
      <c r="AI33" s="169"/>
      <c r="AJ33" s="169"/>
      <c r="AK33" s="174"/>
      <c r="AL33" s="169"/>
    </row>
    <row r="34" spans="1:38" x14ac:dyDescent="0.25">
      <c r="A34" s="169"/>
      <c r="B34" s="241"/>
      <c r="C34" s="169" t="s">
        <v>136</v>
      </c>
      <c r="D34" s="155"/>
      <c r="E34" s="155"/>
      <c r="F34" s="155"/>
      <c r="G34" s="169"/>
      <c r="H34" s="169"/>
      <c r="I34" s="169"/>
      <c r="J34" s="169"/>
      <c r="K34" s="169"/>
      <c r="L34" s="169"/>
      <c r="M34" s="169"/>
      <c r="N34" s="169"/>
      <c r="O34" s="169"/>
      <c r="P34" s="169"/>
      <c r="Q34" s="169"/>
      <c r="R34" s="174"/>
      <c r="S34" s="169"/>
      <c r="T34" s="169"/>
      <c r="U34" s="241"/>
      <c r="V34" s="169" t="s">
        <v>136</v>
      </c>
      <c r="W34" s="186"/>
      <c r="X34" s="186"/>
      <c r="Y34" s="186"/>
      <c r="Z34" s="169"/>
      <c r="AA34" s="169"/>
      <c r="AB34" s="169"/>
      <c r="AC34" s="169"/>
      <c r="AD34" s="169"/>
      <c r="AE34" s="169"/>
      <c r="AF34" s="169"/>
      <c r="AG34" s="169"/>
      <c r="AH34" s="169"/>
      <c r="AI34" s="169"/>
      <c r="AJ34" s="169"/>
      <c r="AK34" s="174"/>
      <c r="AL34" s="169"/>
    </row>
    <row r="35" spans="1:38" x14ac:dyDescent="0.25">
      <c r="A35" s="169"/>
      <c r="B35" s="241"/>
      <c r="C35" s="169" t="s">
        <v>137</v>
      </c>
      <c r="D35" s="156"/>
      <c r="E35" s="156"/>
      <c r="F35" s="156"/>
      <c r="G35" s="169"/>
      <c r="H35" s="169"/>
      <c r="I35" s="169"/>
      <c r="J35" s="169"/>
      <c r="K35" s="169"/>
      <c r="L35" s="169"/>
      <c r="M35" s="169"/>
      <c r="N35" s="169"/>
      <c r="O35" s="169"/>
      <c r="P35" s="169"/>
      <c r="Q35" s="169"/>
      <c r="R35" s="174"/>
      <c r="S35" s="169"/>
      <c r="T35" s="169"/>
      <c r="U35" s="241"/>
      <c r="V35" s="169" t="s">
        <v>137</v>
      </c>
      <c r="W35" s="187"/>
      <c r="X35" s="187"/>
      <c r="Y35" s="187"/>
      <c r="Z35" s="169"/>
      <c r="AA35" s="169"/>
      <c r="AB35" s="169"/>
      <c r="AC35" s="169"/>
      <c r="AD35" s="169"/>
      <c r="AE35" s="169"/>
      <c r="AF35" s="169"/>
      <c r="AG35" s="169"/>
      <c r="AH35" s="169"/>
      <c r="AI35" s="169"/>
      <c r="AJ35" s="169"/>
      <c r="AK35" s="174"/>
      <c r="AL35" s="169"/>
    </row>
    <row r="36" spans="1:38" x14ac:dyDescent="0.25">
      <c r="A36" s="169"/>
      <c r="B36" s="180"/>
      <c r="C36" s="181"/>
      <c r="D36" s="181"/>
      <c r="E36" s="181"/>
      <c r="F36" s="181"/>
      <c r="G36" s="181"/>
      <c r="H36" s="181"/>
      <c r="I36" s="181"/>
      <c r="J36" s="181"/>
      <c r="K36" s="181"/>
      <c r="L36" s="181"/>
      <c r="M36" s="181"/>
      <c r="N36" s="181"/>
      <c r="O36" s="181"/>
      <c r="P36" s="181"/>
      <c r="Q36" s="181"/>
      <c r="R36" s="182"/>
      <c r="S36" s="169"/>
      <c r="T36" s="169"/>
      <c r="U36" s="180"/>
      <c r="V36" s="181"/>
      <c r="W36" s="181"/>
      <c r="X36" s="181"/>
      <c r="Y36" s="181"/>
      <c r="Z36" s="181"/>
      <c r="AA36" s="181"/>
      <c r="AB36" s="181"/>
      <c r="AC36" s="181"/>
      <c r="AD36" s="181"/>
      <c r="AE36" s="181"/>
      <c r="AF36" s="181"/>
      <c r="AG36" s="181"/>
      <c r="AH36" s="181"/>
      <c r="AI36" s="181"/>
      <c r="AJ36" s="181"/>
      <c r="AK36" s="182"/>
      <c r="AL36" s="169"/>
    </row>
    <row r="37" spans="1:38" x14ac:dyDescent="0.25">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row>
    <row r="38" spans="1:38" x14ac:dyDescent="0.25">
      <c r="A38" s="169"/>
      <c r="B38" s="169"/>
      <c r="C38" s="169"/>
      <c r="D38" s="169"/>
      <c r="E38" s="169"/>
      <c r="F38" s="169"/>
      <c r="G38" s="169"/>
      <c r="H38" s="169"/>
      <c r="I38" s="169"/>
      <c r="J38" s="169"/>
      <c r="K38" s="169"/>
      <c r="L38" s="169"/>
      <c r="M38" s="169"/>
      <c r="N38" s="169"/>
      <c r="O38" s="169"/>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row>
    <row r="39" spans="1:38" x14ac:dyDescent="0.25">
      <c r="A39" s="169"/>
      <c r="B39" s="171"/>
      <c r="C39" s="172"/>
      <c r="D39" s="172"/>
      <c r="E39" s="172"/>
      <c r="F39" s="172"/>
      <c r="G39" s="172"/>
      <c r="H39" s="172"/>
      <c r="I39" s="172"/>
      <c r="J39" s="172"/>
      <c r="K39" s="172"/>
      <c r="L39" s="172"/>
      <c r="M39" s="172"/>
      <c r="N39" s="172"/>
      <c r="O39" s="172"/>
      <c r="P39" s="172"/>
      <c r="Q39" s="172"/>
      <c r="R39" s="173"/>
      <c r="S39" s="169"/>
      <c r="T39" s="169"/>
      <c r="U39" s="171"/>
      <c r="V39" s="172"/>
      <c r="W39" s="172"/>
      <c r="X39" s="172"/>
      <c r="Y39" s="172"/>
      <c r="Z39" s="172"/>
      <c r="AA39" s="172"/>
      <c r="AB39" s="172"/>
      <c r="AC39" s="172"/>
      <c r="AD39" s="172"/>
      <c r="AE39" s="172"/>
      <c r="AF39" s="172"/>
      <c r="AG39" s="172"/>
      <c r="AH39" s="172"/>
      <c r="AI39" s="172"/>
      <c r="AJ39" s="172"/>
      <c r="AK39" s="173"/>
      <c r="AL39" s="169"/>
    </row>
    <row r="40" spans="1:38" ht="15" x14ac:dyDescent="0.25">
      <c r="A40" s="169"/>
      <c r="B40" s="271" t="str">
        <f>'PRODUCTS &amp; VOLUME'!B24</f>
        <v>2.</v>
      </c>
      <c r="C40" s="20" t="s">
        <v>117</v>
      </c>
      <c r="D40" s="169"/>
      <c r="E40" s="169"/>
      <c r="F40" s="169"/>
      <c r="G40" s="169"/>
      <c r="H40" s="169"/>
      <c r="I40" s="169"/>
      <c r="J40" s="169"/>
      <c r="K40" s="169"/>
      <c r="L40" s="169"/>
      <c r="M40" s="169"/>
      <c r="N40" s="169"/>
      <c r="O40" s="169"/>
      <c r="P40" s="169"/>
      <c r="Q40" s="169"/>
      <c r="R40" s="174"/>
      <c r="S40" s="169"/>
      <c r="T40" s="169"/>
      <c r="U40" s="270" t="str">
        <f>'PRODUCTS &amp; VOLUME'!B27</f>
        <v>5.</v>
      </c>
      <c r="V40" s="20" t="s">
        <v>117</v>
      </c>
      <c r="W40" s="169"/>
      <c r="X40" s="169"/>
      <c r="Y40" s="169"/>
      <c r="Z40" s="169"/>
      <c r="AA40" s="169"/>
      <c r="AB40" s="169"/>
      <c r="AC40" s="169"/>
      <c r="AD40" s="169"/>
      <c r="AE40" s="169"/>
      <c r="AF40" s="169"/>
      <c r="AG40" s="169"/>
      <c r="AH40" s="169"/>
      <c r="AI40" s="169"/>
      <c r="AJ40" s="169"/>
      <c r="AK40" s="174"/>
      <c r="AL40" s="169"/>
    </row>
    <row r="41" spans="1:38" x14ac:dyDescent="0.25">
      <c r="A41" s="169"/>
      <c r="B41" s="271"/>
      <c r="C41" s="146"/>
      <c r="D41" s="169"/>
      <c r="E41" s="169"/>
      <c r="F41" s="169"/>
      <c r="G41" s="169"/>
      <c r="H41" s="169"/>
      <c r="I41" s="169"/>
      <c r="J41" s="169"/>
      <c r="K41" s="169"/>
      <c r="L41" s="169"/>
      <c r="M41" s="169"/>
      <c r="N41" s="169"/>
      <c r="O41" s="169"/>
      <c r="P41" s="169"/>
      <c r="Q41" s="169"/>
      <c r="R41" s="174"/>
      <c r="S41" s="169"/>
      <c r="T41" s="169"/>
      <c r="U41" s="271"/>
      <c r="V41" s="146"/>
      <c r="W41" s="169"/>
      <c r="X41" s="169"/>
      <c r="Y41" s="169"/>
      <c r="Z41" s="169"/>
      <c r="AA41" s="169"/>
      <c r="AB41" s="169"/>
      <c r="AC41" s="169"/>
      <c r="AD41" s="169"/>
      <c r="AE41" s="169"/>
      <c r="AF41" s="169"/>
      <c r="AG41" s="169"/>
      <c r="AH41" s="169"/>
      <c r="AI41" s="169"/>
      <c r="AJ41" s="169"/>
      <c r="AK41" s="174"/>
      <c r="AL41" s="169"/>
    </row>
    <row r="42" spans="1:38" x14ac:dyDescent="0.25">
      <c r="A42" s="169"/>
      <c r="B42" s="271"/>
      <c r="C42" s="115"/>
      <c r="D42" s="116" t="s">
        <v>94</v>
      </c>
      <c r="E42" s="115"/>
      <c r="F42" s="116" t="s">
        <v>33</v>
      </c>
      <c r="G42" s="117"/>
      <c r="H42" s="118" t="s">
        <v>102</v>
      </c>
      <c r="I42" s="169"/>
      <c r="J42" s="243" t="s">
        <v>105</v>
      </c>
      <c r="K42" s="244"/>
      <c r="L42" s="243" t="s">
        <v>106</v>
      </c>
      <c r="M42" s="244"/>
      <c r="N42" s="169"/>
      <c r="O42" s="118" t="s">
        <v>111</v>
      </c>
      <c r="P42" s="118" t="s">
        <v>113</v>
      </c>
      <c r="Q42" s="118" t="s">
        <v>112</v>
      </c>
      <c r="R42" s="174"/>
      <c r="S42" s="169"/>
      <c r="T42" s="169"/>
      <c r="U42" s="271"/>
      <c r="V42" s="115"/>
      <c r="W42" s="116" t="s">
        <v>94</v>
      </c>
      <c r="X42" s="115"/>
      <c r="Y42" s="116" t="s">
        <v>33</v>
      </c>
      <c r="Z42" s="117"/>
      <c r="AA42" s="118" t="s">
        <v>102</v>
      </c>
      <c r="AB42" s="169"/>
      <c r="AC42" s="243" t="s">
        <v>105</v>
      </c>
      <c r="AD42" s="244"/>
      <c r="AE42" s="243" t="s">
        <v>106</v>
      </c>
      <c r="AF42" s="244"/>
      <c r="AG42" s="169"/>
      <c r="AH42" s="118" t="s">
        <v>111</v>
      </c>
      <c r="AI42" s="118" t="s">
        <v>113</v>
      </c>
      <c r="AJ42" s="118" t="s">
        <v>112</v>
      </c>
      <c r="AK42" s="174"/>
      <c r="AL42" s="169"/>
    </row>
    <row r="43" spans="1:38" x14ac:dyDescent="0.25">
      <c r="A43" s="169"/>
      <c r="B43" s="271"/>
      <c r="C43" s="120" t="s">
        <v>2</v>
      </c>
      <c r="D43" s="120" t="s">
        <v>95</v>
      </c>
      <c r="E43" s="121" t="s">
        <v>27</v>
      </c>
      <c r="F43" s="120" t="s">
        <v>34</v>
      </c>
      <c r="G43" s="122" t="s">
        <v>38</v>
      </c>
      <c r="H43" s="122" t="s">
        <v>38</v>
      </c>
      <c r="I43" s="169"/>
      <c r="J43" s="266" t="s">
        <v>104</v>
      </c>
      <c r="K43" s="267"/>
      <c r="L43" s="266" t="s">
        <v>104</v>
      </c>
      <c r="M43" s="267"/>
      <c r="N43" s="169"/>
      <c r="O43" s="122" t="s">
        <v>112</v>
      </c>
      <c r="P43" s="122" t="s">
        <v>112</v>
      </c>
      <c r="Q43" s="122" t="s">
        <v>114</v>
      </c>
      <c r="R43" s="174"/>
      <c r="S43" s="169"/>
      <c r="T43" s="169"/>
      <c r="U43" s="271"/>
      <c r="V43" s="120" t="s">
        <v>2</v>
      </c>
      <c r="W43" s="120" t="s">
        <v>95</v>
      </c>
      <c r="X43" s="121" t="s">
        <v>27</v>
      </c>
      <c r="Y43" s="120" t="s">
        <v>34</v>
      </c>
      <c r="Z43" s="122" t="s">
        <v>38</v>
      </c>
      <c r="AA43" s="122" t="s">
        <v>38</v>
      </c>
      <c r="AB43" s="169"/>
      <c r="AC43" s="266" t="s">
        <v>104</v>
      </c>
      <c r="AD43" s="267"/>
      <c r="AE43" s="266" t="s">
        <v>104</v>
      </c>
      <c r="AF43" s="267"/>
      <c r="AG43" s="169"/>
      <c r="AH43" s="122" t="s">
        <v>112</v>
      </c>
      <c r="AI43" s="122" t="s">
        <v>112</v>
      </c>
      <c r="AJ43" s="122" t="s">
        <v>114</v>
      </c>
      <c r="AK43" s="174"/>
      <c r="AL43" s="169"/>
    </row>
    <row r="44" spans="1:38" x14ac:dyDescent="0.25">
      <c r="A44" s="169"/>
      <c r="B44" s="271"/>
      <c r="C44" s="123" t="str">
        <f>IF('PRODUCTS &amp; VOLUME'!C24="","",'PRODUCTS &amp; VOLUME'!C24)</f>
        <v/>
      </c>
      <c r="D44" s="124" t="str">
        <f>IF('PRODUCTS &amp; VOLUME'!D24="","",'PRODUCTS &amp; VOLUME'!D24)</f>
        <v/>
      </c>
      <c r="E44" s="125">
        <f>'PRODUCTS &amp; VOLUME'!J24</f>
        <v>0</v>
      </c>
      <c r="F44" s="125" t="str">
        <f>'PRODUCTS &amp; VOLUME'!L24</f>
        <v/>
      </c>
      <c r="G44" s="126" t="str">
        <f>IF('PRODUCTS &amp; VOLUME'!K24="","",'PRODUCTS &amp; VOLUME'!K24)</f>
        <v/>
      </c>
      <c r="H44" s="126">
        <f>IF(G44="YES",(E44/110%),E44)</f>
        <v>0</v>
      </c>
      <c r="I44" s="169"/>
      <c r="J44" s="127"/>
      <c r="K44" s="128"/>
      <c r="L44" s="128"/>
      <c r="M44" s="129"/>
      <c r="N44" s="169"/>
      <c r="O44" s="141"/>
      <c r="P44" s="141"/>
      <c r="Q44" s="136"/>
      <c r="R44" s="174"/>
      <c r="S44" s="169"/>
      <c r="T44" s="169"/>
      <c r="U44" s="271"/>
      <c r="V44" s="123" t="str">
        <f>IF('PRODUCTS &amp; VOLUME'!C27="","",'PRODUCTS &amp; VOLUME'!C27)</f>
        <v/>
      </c>
      <c r="W44" s="124" t="str">
        <f>IF('PRODUCTS &amp; VOLUME'!D27="","",'PRODUCTS &amp; VOLUME'!D27)</f>
        <v/>
      </c>
      <c r="X44" s="125">
        <f>'PRODUCTS &amp; VOLUME'!J27</f>
        <v>0</v>
      </c>
      <c r="Y44" s="125" t="str">
        <f>'PRODUCTS &amp; VOLUME'!L27</f>
        <v/>
      </c>
      <c r="Z44" s="126" t="str">
        <f>IF('PRODUCTS &amp; VOLUME'!K27="","",'PRODUCTS &amp; VOLUME'!K27)</f>
        <v/>
      </c>
      <c r="AA44" s="126">
        <f>IF(Z44="YES",(X44/110%),X44)</f>
        <v>0</v>
      </c>
      <c r="AB44" s="169"/>
      <c r="AC44" s="127"/>
      <c r="AD44" s="128"/>
      <c r="AE44" s="128"/>
      <c r="AF44" s="129"/>
      <c r="AG44" s="169"/>
      <c r="AH44" s="141"/>
      <c r="AI44" s="141"/>
      <c r="AJ44" s="136"/>
      <c r="AK44" s="174"/>
      <c r="AL44" s="169"/>
    </row>
    <row r="45" spans="1:38" x14ac:dyDescent="0.25">
      <c r="A45" s="169"/>
      <c r="B45" s="271"/>
      <c r="C45" s="132" t="s">
        <v>103</v>
      </c>
      <c r="D45" s="133"/>
      <c r="E45" s="134"/>
      <c r="F45" s="135" t="str">
        <f>IFERROR(E45/D45,"")</f>
        <v/>
      </c>
      <c r="G45" s="136"/>
      <c r="H45" s="126">
        <f>IF(G45="YES",(E45/110%),E45)</f>
        <v>0</v>
      </c>
      <c r="I45" s="169"/>
      <c r="J45" s="137">
        <f>E44-E45</f>
        <v>0</v>
      </c>
      <c r="K45" s="138" t="str">
        <f>IFERROR((E44-E45)/E44,"")</f>
        <v/>
      </c>
      <c r="L45" s="137" t="str">
        <f>IFERROR(F44-F45,"")</f>
        <v/>
      </c>
      <c r="M45" s="138" t="str">
        <f>IFERROR((F44-F45)/F44,"")</f>
        <v/>
      </c>
      <c r="N45" s="169"/>
      <c r="O45" s="139"/>
      <c r="P45" s="140"/>
      <c r="Q45" s="136"/>
      <c r="R45" s="174"/>
      <c r="S45" s="169"/>
      <c r="T45" s="169"/>
      <c r="U45" s="271"/>
      <c r="V45" s="132" t="s">
        <v>103</v>
      </c>
      <c r="W45" s="133"/>
      <c r="X45" s="134"/>
      <c r="Y45" s="135" t="str">
        <f>IFERROR(X45/W45,"")</f>
        <v/>
      </c>
      <c r="Z45" s="136"/>
      <c r="AA45" s="126">
        <f>IF(Z45="YES",(X45/110%),X45)</f>
        <v>0</v>
      </c>
      <c r="AB45" s="169"/>
      <c r="AC45" s="137">
        <f>X44-X45</f>
        <v>0</v>
      </c>
      <c r="AD45" s="138" t="str">
        <f>IFERROR((X44-X45)/X44,"")</f>
        <v/>
      </c>
      <c r="AE45" s="137" t="str">
        <f>IFERROR(Y44-Y45,"")</f>
        <v/>
      </c>
      <c r="AF45" s="138" t="str">
        <f>IFERROR((Y44-Y45)/Y44,"")</f>
        <v/>
      </c>
      <c r="AG45" s="169"/>
      <c r="AH45" s="139"/>
      <c r="AI45" s="140"/>
      <c r="AJ45" s="136"/>
      <c r="AK45" s="174"/>
      <c r="AL45" s="169"/>
    </row>
    <row r="46" spans="1:38" x14ac:dyDescent="0.25">
      <c r="A46" s="169"/>
      <c r="B46" s="271"/>
      <c r="C46" s="132" t="s">
        <v>110</v>
      </c>
      <c r="D46" s="133"/>
      <c r="E46" s="134"/>
      <c r="F46" s="135" t="str">
        <f>IFERROR(E46/D46,"")</f>
        <v/>
      </c>
      <c r="G46" s="136"/>
      <c r="H46" s="126">
        <f>IF(G46="YES",(E46/110%),E46)</f>
        <v>0</v>
      </c>
      <c r="I46" s="169"/>
      <c r="J46" s="137">
        <f>E44-E46</f>
        <v>0</v>
      </c>
      <c r="K46" s="138" t="str">
        <f>IFERROR((E44-E46)/E45,"")</f>
        <v/>
      </c>
      <c r="L46" s="137" t="str">
        <f>IFERROR(F44-F46,"")</f>
        <v/>
      </c>
      <c r="M46" s="138" t="str">
        <f>IFERROR((F44-F46)/F45,"")</f>
        <v/>
      </c>
      <c r="N46" s="169"/>
      <c r="O46" s="141"/>
      <c r="P46" s="142"/>
      <c r="Q46" s="136"/>
      <c r="R46" s="174"/>
      <c r="S46" s="169"/>
      <c r="T46" s="169"/>
      <c r="U46" s="272"/>
      <c r="V46" s="132" t="s">
        <v>110</v>
      </c>
      <c r="W46" s="133"/>
      <c r="X46" s="134"/>
      <c r="Y46" s="135" t="str">
        <f>IFERROR(X46/W46,"")</f>
        <v/>
      </c>
      <c r="Z46" s="136"/>
      <c r="AA46" s="126">
        <f>IF(Z46="YES",(X46/110%),X46)</f>
        <v>0</v>
      </c>
      <c r="AB46" s="169"/>
      <c r="AC46" s="137">
        <f>X44-X46</f>
        <v>0</v>
      </c>
      <c r="AD46" s="138" t="str">
        <f>IFERROR((X44-X46)/X45,"")</f>
        <v/>
      </c>
      <c r="AE46" s="137" t="str">
        <f>IFERROR(Y44-Y46,"")</f>
        <v/>
      </c>
      <c r="AF46" s="138" t="str">
        <f>IFERROR((Y44-Y46)/Y45,"")</f>
        <v/>
      </c>
      <c r="AG46" s="169"/>
      <c r="AH46" s="141"/>
      <c r="AI46" s="142"/>
      <c r="AJ46" s="136"/>
      <c r="AK46" s="174"/>
      <c r="AL46" s="169"/>
    </row>
    <row r="47" spans="1:38" x14ac:dyDescent="0.25">
      <c r="A47" s="169"/>
      <c r="B47" s="175"/>
      <c r="C47" s="169"/>
      <c r="D47" s="169"/>
      <c r="E47" s="169"/>
      <c r="F47" s="169"/>
      <c r="G47" s="169"/>
      <c r="H47" s="169"/>
      <c r="I47" s="169"/>
      <c r="J47" s="169"/>
      <c r="K47" s="169"/>
      <c r="L47" s="169"/>
      <c r="M47" s="169"/>
      <c r="N47" s="169"/>
      <c r="O47" s="169"/>
      <c r="P47" s="169"/>
      <c r="Q47" s="169"/>
      <c r="R47" s="174"/>
      <c r="S47" s="169"/>
      <c r="T47" s="169"/>
      <c r="U47" s="175"/>
      <c r="V47" s="169"/>
      <c r="W47" s="169"/>
      <c r="X47" s="169"/>
      <c r="Y47" s="169"/>
      <c r="Z47" s="169"/>
      <c r="AA47" s="169"/>
      <c r="AB47" s="169"/>
      <c r="AC47" s="169"/>
      <c r="AD47" s="169"/>
      <c r="AE47" s="169"/>
      <c r="AF47" s="169"/>
      <c r="AG47" s="169"/>
      <c r="AH47" s="169"/>
      <c r="AI47" s="169"/>
      <c r="AJ47" s="169"/>
      <c r="AK47" s="174"/>
      <c r="AL47" s="169"/>
    </row>
    <row r="48" spans="1:38" ht="137.25" x14ac:dyDescent="0.25">
      <c r="A48" s="169"/>
      <c r="B48" s="176"/>
      <c r="C48" s="147" t="s">
        <v>118</v>
      </c>
      <c r="D48" s="177" t="s">
        <v>107</v>
      </c>
      <c r="E48" s="177" t="s">
        <v>108</v>
      </c>
      <c r="F48" s="177" t="s">
        <v>109</v>
      </c>
      <c r="G48" s="169"/>
      <c r="H48" s="249" t="s">
        <v>150</v>
      </c>
      <c r="I48" s="250"/>
      <c r="J48" s="250"/>
      <c r="K48" s="250"/>
      <c r="L48" s="250"/>
      <c r="M48" s="250"/>
      <c r="N48" s="250"/>
      <c r="O48" s="250"/>
      <c r="P48" s="250"/>
      <c r="Q48" s="251"/>
      <c r="R48" s="174"/>
      <c r="S48" s="169"/>
      <c r="T48" s="169"/>
      <c r="U48" s="176"/>
      <c r="V48" s="147" t="s">
        <v>118</v>
      </c>
      <c r="W48" s="177" t="s">
        <v>107</v>
      </c>
      <c r="X48" s="177" t="s">
        <v>108</v>
      </c>
      <c r="Y48" s="177" t="s">
        <v>109</v>
      </c>
      <c r="Z48" s="169"/>
      <c r="AA48" s="249" t="s">
        <v>150</v>
      </c>
      <c r="AB48" s="250"/>
      <c r="AC48" s="250"/>
      <c r="AD48" s="250"/>
      <c r="AE48" s="250"/>
      <c r="AF48" s="250"/>
      <c r="AG48" s="250"/>
      <c r="AH48" s="250"/>
      <c r="AI48" s="250"/>
      <c r="AJ48" s="251"/>
      <c r="AK48" s="174"/>
      <c r="AL48" s="169"/>
    </row>
    <row r="49" spans="1:38" ht="13.5" customHeight="1" x14ac:dyDescent="0.25">
      <c r="A49" s="169"/>
      <c r="B49" s="248" t="s">
        <v>127</v>
      </c>
      <c r="C49" s="178" t="s">
        <v>122</v>
      </c>
      <c r="D49" s="153"/>
      <c r="E49" s="153"/>
      <c r="F49" s="153"/>
      <c r="G49" s="169"/>
      <c r="H49" s="169"/>
      <c r="I49" s="169"/>
      <c r="J49" s="169"/>
      <c r="K49" s="169"/>
      <c r="L49" s="169"/>
      <c r="M49" s="169"/>
      <c r="N49" s="169"/>
      <c r="O49" s="169"/>
      <c r="P49" s="169"/>
      <c r="Q49" s="169"/>
      <c r="R49" s="174"/>
      <c r="S49" s="169"/>
      <c r="T49" s="169"/>
      <c r="U49" s="248" t="s">
        <v>127</v>
      </c>
      <c r="V49" s="178" t="s">
        <v>122</v>
      </c>
      <c r="W49" s="153"/>
      <c r="X49" s="153"/>
      <c r="Y49" s="153"/>
      <c r="Z49" s="169"/>
      <c r="AA49" s="169"/>
      <c r="AB49" s="169"/>
      <c r="AC49" s="169"/>
      <c r="AD49" s="169"/>
      <c r="AE49" s="169"/>
      <c r="AF49" s="169"/>
      <c r="AG49" s="169"/>
      <c r="AH49" s="169"/>
      <c r="AI49" s="169"/>
      <c r="AJ49" s="169"/>
      <c r="AK49" s="174"/>
      <c r="AL49" s="169"/>
    </row>
    <row r="50" spans="1:38" x14ac:dyDescent="0.25">
      <c r="A50" s="169"/>
      <c r="B50" s="248"/>
      <c r="C50" s="169" t="s">
        <v>123</v>
      </c>
      <c r="D50" s="134"/>
      <c r="E50" s="134"/>
      <c r="F50" s="134"/>
      <c r="G50" s="169"/>
      <c r="H50" s="169"/>
      <c r="I50" s="169"/>
      <c r="J50" s="169"/>
      <c r="K50" s="169"/>
      <c r="L50" s="169"/>
      <c r="M50" s="169"/>
      <c r="N50" s="169"/>
      <c r="O50" s="169"/>
      <c r="P50" s="169"/>
      <c r="Q50" s="169"/>
      <c r="R50" s="174"/>
      <c r="S50" s="169"/>
      <c r="T50" s="169"/>
      <c r="U50" s="248"/>
      <c r="V50" s="169" t="s">
        <v>123</v>
      </c>
      <c r="W50" s="134"/>
      <c r="X50" s="134"/>
      <c r="Y50" s="134"/>
      <c r="Z50" s="169"/>
      <c r="AA50" s="169"/>
      <c r="AB50" s="169"/>
      <c r="AC50" s="169"/>
      <c r="AD50" s="169"/>
      <c r="AE50" s="169"/>
      <c r="AF50" s="169"/>
      <c r="AG50" s="169"/>
      <c r="AH50" s="169"/>
      <c r="AI50" s="169"/>
      <c r="AJ50" s="169"/>
      <c r="AK50" s="174"/>
      <c r="AL50" s="169"/>
    </row>
    <row r="51" spans="1:38" x14ac:dyDescent="0.25">
      <c r="A51" s="169"/>
      <c r="B51" s="248"/>
      <c r="C51" s="169" t="s">
        <v>119</v>
      </c>
      <c r="D51" s="148"/>
      <c r="E51" s="148"/>
      <c r="F51" s="148"/>
      <c r="G51" s="169"/>
      <c r="H51" s="169"/>
      <c r="I51" s="169"/>
      <c r="J51" s="169"/>
      <c r="K51" s="169"/>
      <c r="L51" s="169"/>
      <c r="M51" s="169"/>
      <c r="N51" s="169"/>
      <c r="O51" s="169"/>
      <c r="P51" s="169"/>
      <c r="Q51" s="169"/>
      <c r="R51" s="174"/>
      <c r="S51" s="169"/>
      <c r="T51" s="169"/>
      <c r="U51" s="248"/>
      <c r="V51" s="169" t="s">
        <v>119</v>
      </c>
      <c r="W51" s="148"/>
      <c r="X51" s="148"/>
      <c r="Y51" s="148"/>
      <c r="Z51" s="169"/>
      <c r="AA51" s="169"/>
      <c r="AB51" s="169"/>
      <c r="AC51" s="169"/>
      <c r="AD51" s="169"/>
      <c r="AE51" s="169"/>
      <c r="AF51" s="169"/>
      <c r="AG51" s="169"/>
      <c r="AH51" s="169"/>
      <c r="AI51" s="169"/>
      <c r="AJ51" s="169"/>
      <c r="AK51" s="174"/>
      <c r="AL51" s="169"/>
    </row>
    <row r="52" spans="1:38" x14ac:dyDescent="0.25">
      <c r="A52" s="169"/>
      <c r="B52" s="248"/>
      <c r="C52" s="169" t="s">
        <v>121</v>
      </c>
      <c r="D52" s="135">
        <f>D50-D51</f>
        <v>0</v>
      </c>
      <c r="E52" s="135">
        <f>E50-E51</f>
        <v>0</v>
      </c>
      <c r="F52" s="135">
        <v>0</v>
      </c>
      <c r="G52" s="169"/>
      <c r="H52" s="169"/>
      <c r="I52" s="169"/>
      <c r="J52" s="169"/>
      <c r="K52" s="169"/>
      <c r="L52" s="169"/>
      <c r="M52" s="169"/>
      <c r="N52" s="169"/>
      <c r="O52" s="169"/>
      <c r="P52" s="169"/>
      <c r="Q52" s="169"/>
      <c r="R52" s="174"/>
      <c r="S52" s="169"/>
      <c r="T52" s="169"/>
      <c r="U52" s="248"/>
      <c r="V52" s="169" t="s">
        <v>121</v>
      </c>
      <c r="W52" s="135">
        <f>W50-W51</f>
        <v>0</v>
      </c>
      <c r="X52" s="135">
        <f>X50-X51</f>
        <v>0</v>
      </c>
      <c r="Y52" s="135">
        <v>0</v>
      </c>
      <c r="Z52" s="169"/>
      <c r="AA52" s="169"/>
      <c r="AB52" s="169"/>
      <c r="AC52" s="169"/>
      <c r="AD52" s="169"/>
      <c r="AE52" s="169"/>
      <c r="AF52" s="169"/>
      <c r="AG52" s="169"/>
      <c r="AH52" s="169"/>
      <c r="AI52" s="169"/>
      <c r="AJ52" s="169"/>
      <c r="AK52" s="174"/>
      <c r="AL52" s="169"/>
    </row>
    <row r="53" spans="1:38" x14ac:dyDescent="0.25">
      <c r="A53" s="169"/>
      <c r="B53" s="248"/>
      <c r="C53" s="169" t="s">
        <v>120</v>
      </c>
      <c r="D53" s="149" t="str">
        <f>IFERROR((D49-D52)/D49,"")</f>
        <v/>
      </c>
      <c r="E53" s="149" t="str">
        <f>IFERROR((E49-E52)/E49,"")</f>
        <v/>
      </c>
      <c r="F53" s="150" t="s">
        <v>28</v>
      </c>
      <c r="G53" s="169"/>
      <c r="H53" s="169"/>
      <c r="I53" s="169"/>
      <c r="J53" s="169"/>
      <c r="K53" s="169"/>
      <c r="L53" s="169"/>
      <c r="M53" s="169"/>
      <c r="N53" s="169"/>
      <c r="O53" s="169"/>
      <c r="P53" s="169"/>
      <c r="Q53" s="169"/>
      <c r="R53" s="174"/>
      <c r="S53" s="169"/>
      <c r="T53" s="169"/>
      <c r="U53" s="248"/>
      <c r="V53" s="169" t="s">
        <v>120</v>
      </c>
      <c r="W53" s="149" t="str">
        <f>IFERROR((W49-W52)/W49,"")</f>
        <v/>
      </c>
      <c r="X53" s="149" t="str">
        <f>IFERROR((X49-X52)/X49,"")</f>
        <v/>
      </c>
      <c r="Y53" s="150" t="s">
        <v>28</v>
      </c>
      <c r="Z53" s="169"/>
      <c r="AA53" s="169"/>
      <c r="AB53" s="169"/>
      <c r="AC53" s="169"/>
      <c r="AD53" s="169"/>
      <c r="AE53" s="169"/>
      <c r="AF53" s="169"/>
      <c r="AG53" s="169"/>
      <c r="AH53" s="169"/>
      <c r="AI53" s="169"/>
      <c r="AJ53" s="169"/>
      <c r="AK53" s="174"/>
      <c r="AL53" s="169"/>
    </row>
    <row r="54" spans="1:38" x14ac:dyDescent="0.25">
      <c r="A54" s="169"/>
      <c r="B54" s="248"/>
      <c r="G54" s="169"/>
      <c r="H54" s="169"/>
      <c r="I54" s="169"/>
      <c r="J54" s="169"/>
      <c r="K54" s="169"/>
      <c r="L54" s="169"/>
      <c r="M54" s="169"/>
      <c r="N54" s="169"/>
      <c r="O54" s="169"/>
      <c r="P54" s="169"/>
      <c r="Q54" s="169"/>
      <c r="R54" s="174"/>
      <c r="S54" s="169"/>
      <c r="T54" s="169"/>
      <c r="U54" s="248"/>
      <c r="V54" s="169"/>
      <c r="W54" s="169"/>
      <c r="X54" s="169"/>
      <c r="Y54" s="169"/>
      <c r="Z54" s="169"/>
      <c r="AA54" s="169"/>
      <c r="AB54" s="169"/>
      <c r="AC54" s="169"/>
      <c r="AD54" s="169"/>
      <c r="AE54" s="169"/>
      <c r="AF54" s="169"/>
      <c r="AG54" s="169"/>
      <c r="AH54" s="169"/>
      <c r="AI54" s="169"/>
      <c r="AJ54" s="169"/>
      <c r="AK54" s="174"/>
      <c r="AL54" s="169"/>
    </row>
    <row r="55" spans="1:38" x14ac:dyDescent="0.25">
      <c r="A55" s="169"/>
      <c r="B55" s="248"/>
      <c r="C55" s="179" t="s">
        <v>124</v>
      </c>
      <c r="D55" s="163"/>
      <c r="E55" s="164"/>
      <c r="F55" s="165"/>
      <c r="G55" s="169"/>
      <c r="H55" s="169"/>
      <c r="I55" s="169"/>
      <c r="J55" s="169"/>
      <c r="K55" s="169"/>
      <c r="L55" s="169"/>
      <c r="M55" s="169"/>
      <c r="N55" s="169"/>
      <c r="O55" s="169"/>
      <c r="P55" s="169"/>
      <c r="Q55" s="169"/>
      <c r="R55" s="174"/>
      <c r="S55" s="169"/>
      <c r="T55" s="169"/>
      <c r="U55" s="248"/>
      <c r="V55" s="179" t="s">
        <v>124</v>
      </c>
      <c r="W55" s="163"/>
      <c r="X55" s="164"/>
      <c r="Y55" s="165"/>
      <c r="Z55" s="169"/>
      <c r="AA55" s="169"/>
      <c r="AB55" s="169"/>
      <c r="AC55" s="169"/>
      <c r="AD55" s="169"/>
      <c r="AE55" s="169"/>
      <c r="AF55" s="169"/>
      <c r="AG55" s="169"/>
      <c r="AH55" s="169"/>
      <c r="AI55" s="169"/>
      <c r="AJ55" s="169"/>
      <c r="AK55" s="174"/>
      <c r="AL55" s="169"/>
    </row>
    <row r="56" spans="1:38" x14ac:dyDescent="0.25">
      <c r="A56" s="169"/>
      <c r="B56" s="248"/>
      <c r="C56" s="179" t="s">
        <v>125</v>
      </c>
      <c r="D56" s="166" t="str">
        <f>IFERROR(D53-D55,"")</f>
        <v/>
      </c>
      <c r="E56" s="166" t="str">
        <f>IFERROR(E53-E55,"")</f>
        <v/>
      </c>
      <c r="F56" s="165"/>
      <c r="G56" s="169"/>
      <c r="H56" s="169"/>
      <c r="I56" s="169"/>
      <c r="J56" s="169"/>
      <c r="K56" s="169"/>
      <c r="L56" s="169"/>
      <c r="M56" s="169"/>
      <c r="N56" s="169"/>
      <c r="O56" s="169"/>
      <c r="P56" s="169"/>
      <c r="Q56" s="169"/>
      <c r="R56" s="174"/>
      <c r="S56" s="169"/>
      <c r="T56" s="169"/>
      <c r="U56" s="248"/>
      <c r="V56" s="179" t="s">
        <v>125</v>
      </c>
      <c r="W56" s="166" t="str">
        <f>IFERROR(W53-W55,"")</f>
        <v/>
      </c>
      <c r="X56" s="166" t="str">
        <f>IFERROR(X53-X55,"")</f>
        <v/>
      </c>
      <c r="Y56" s="165"/>
      <c r="Z56" s="169"/>
      <c r="AA56" s="169"/>
      <c r="AB56" s="169"/>
      <c r="AC56" s="169"/>
      <c r="AD56" s="169"/>
      <c r="AE56" s="169"/>
      <c r="AF56" s="169"/>
      <c r="AG56" s="169"/>
      <c r="AH56" s="169"/>
      <c r="AI56" s="169"/>
      <c r="AJ56" s="169"/>
      <c r="AK56" s="174"/>
      <c r="AL56" s="169"/>
    </row>
    <row r="57" spans="1:38" x14ac:dyDescent="0.25">
      <c r="A57" s="169"/>
      <c r="B57" s="248"/>
      <c r="C57" s="179" t="s">
        <v>126</v>
      </c>
      <c r="D57" s="167" t="str">
        <f>IFERROR((D52*D55)-(D52*D53),"")</f>
        <v/>
      </c>
      <c r="E57" s="167" t="str">
        <f>IFERROR((E52*E55)-(E52*E53),"")</f>
        <v/>
      </c>
      <c r="F57" s="165"/>
      <c r="G57" s="169"/>
      <c r="H57" s="169"/>
      <c r="I57" s="169"/>
      <c r="J57" s="169"/>
      <c r="K57" s="169"/>
      <c r="L57" s="169"/>
      <c r="M57" s="169"/>
      <c r="N57" s="169"/>
      <c r="O57" s="169"/>
      <c r="P57" s="169"/>
      <c r="Q57" s="169"/>
      <c r="R57" s="174"/>
      <c r="S57" s="169"/>
      <c r="T57" s="169"/>
      <c r="U57" s="248"/>
      <c r="V57" s="179" t="s">
        <v>126</v>
      </c>
      <c r="W57" s="167" t="str">
        <f>IFERROR((W52*W55)-(W52*W53),"")</f>
        <v/>
      </c>
      <c r="X57" s="167" t="str">
        <f>IFERROR((X52*X55)-(X52*X53),"")</f>
        <v/>
      </c>
      <c r="Y57" s="165"/>
      <c r="Z57" s="169"/>
      <c r="AA57" s="169"/>
      <c r="AB57" s="169"/>
      <c r="AC57" s="169"/>
      <c r="AD57" s="169"/>
      <c r="AE57" s="169"/>
      <c r="AF57" s="169"/>
      <c r="AG57" s="169"/>
      <c r="AH57" s="169"/>
      <c r="AI57" s="169"/>
      <c r="AJ57" s="169"/>
      <c r="AK57" s="174"/>
      <c r="AL57" s="169"/>
    </row>
    <row r="58" spans="1:38" ht="8.25" customHeight="1" x14ac:dyDescent="0.25">
      <c r="A58" s="169"/>
      <c r="B58" s="188"/>
      <c r="C58" s="169"/>
      <c r="D58" s="169"/>
      <c r="E58" s="169"/>
      <c r="F58" s="169"/>
      <c r="G58" s="169"/>
      <c r="H58" s="169"/>
      <c r="I58" s="169"/>
      <c r="J58" s="169"/>
      <c r="K58" s="169"/>
      <c r="L58" s="169"/>
      <c r="M58" s="169"/>
      <c r="N58" s="169"/>
      <c r="O58" s="169"/>
      <c r="P58" s="169"/>
      <c r="Q58" s="169"/>
      <c r="R58" s="174"/>
      <c r="S58" s="169"/>
      <c r="T58" s="169"/>
      <c r="U58" s="175"/>
      <c r="V58" s="169"/>
      <c r="W58" s="169"/>
      <c r="X58" s="169"/>
      <c r="Y58" s="169"/>
      <c r="Z58" s="169"/>
      <c r="AA58" s="169"/>
      <c r="AB58" s="169"/>
      <c r="AC58" s="169"/>
      <c r="AD58" s="169"/>
      <c r="AE58" s="169"/>
      <c r="AF58" s="169"/>
      <c r="AG58" s="169"/>
      <c r="AH58" s="169"/>
      <c r="AI58" s="169"/>
      <c r="AJ58" s="169"/>
      <c r="AK58" s="174"/>
      <c r="AL58" s="169"/>
    </row>
    <row r="59" spans="1:38" ht="13.5" customHeight="1" x14ac:dyDescent="0.25">
      <c r="A59" s="169"/>
      <c r="B59" s="241" t="s">
        <v>135</v>
      </c>
      <c r="C59" s="157" t="s">
        <v>132</v>
      </c>
      <c r="D59" s="158" t="str">
        <f>IFERROR(D52-D57,"")</f>
        <v/>
      </c>
      <c r="E59" s="158" t="str">
        <f>IFERROR(E52-E57,"")</f>
        <v/>
      </c>
      <c r="F59" s="159"/>
      <c r="G59" s="169"/>
      <c r="H59" s="179" t="s">
        <v>141</v>
      </c>
      <c r="I59" s="169"/>
      <c r="J59" s="169"/>
      <c r="K59" s="169"/>
      <c r="L59" s="169"/>
      <c r="M59" s="169"/>
      <c r="N59" s="169"/>
      <c r="O59" s="169"/>
      <c r="P59" s="169"/>
      <c r="Q59" s="169"/>
      <c r="R59" s="174"/>
      <c r="S59" s="169"/>
      <c r="T59" s="169"/>
      <c r="U59" s="241" t="s">
        <v>135</v>
      </c>
      <c r="V59" s="157" t="s">
        <v>132</v>
      </c>
      <c r="W59" s="158" t="str">
        <f>IFERROR(W52-W57,"")</f>
        <v/>
      </c>
      <c r="X59" s="158" t="str">
        <f>IFERROR(X52-X57,"")</f>
        <v/>
      </c>
      <c r="Y59" s="159"/>
      <c r="Z59" s="169"/>
      <c r="AA59" s="179" t="s">
        <v>141</v>
      </c>
      <c r="AB59" s="169"/>
      <c r="AC59" s="169"/>
      <c r="AD59" s="169"/>
      <c r="AE59" s="169"/>
      <c r="AF59" s="169"/>
      <c r="AG59" s="169"/>
      <c r="AH59" s="169"/>
      <c r="AI59" s="169"/>
      <c r="AJ59" s="169"/>
      <c r="AK59" s="174"/>
      <c r="AL59" s="169"/>
    </row>
    <row r="60" spans="1:38" x14ac:dyDescent="0.25">
      <c r="A60" s="169"/>
      <c r="B60" s="241"/>
      <c r="C60" s="157" t="s">
        <v>133</v>
      </c>
      <c r="D60" s="158" t="str">
        <f>IFERROR(D59-D65,"")</f>
        <v/>
      </c>
      <c r="E60" s="158" t="str">
        <f>IFERROR(E59-E65,"")</f>
        <v/>
      </c>
      <c r="F60" s="159"/>
      <c r="G60" s="169"/>
      <c r="H60" s="169" t="s">
        <v>142</v>
      </c>
      <c r="I60" s="169"/>
      <c r="J60" s="169"/>
      <c r="K60" s="169"/>
      <c r="L60" s="169"/>
      <c r="M60" s="169"/>
      <c r="N60" s="169"/>
      <c r="O60" s="169"/>
      <c r="P60" s="169"/>
      <c r="Q60" s="169"/>
      <c r="R60" s="174"/>
      <c r="S60" s="169"/>
      <c r="T60" s="169"/>
      <c r="U60" s="241"/>
      <c r="V60" s="157" t="s">
        <v>133</v>
      </c>
      <c r="W60" s="158" t="str">
        <f>IFERROR(W59-W65,"")</f>
        <v/>
      </c>
      <c r="X60" s="158" t="str">
        <f>IFERROR(X59-X65,"")</f>
        <v/>
      </c>
      <c r="Y60" s="159"/>
      <c r="Z60" s="169"/>
      <c r="AA60" s="169" t="s">
        <v>142</v>
      </c>
      <c r="AB60" s="169"/>
      <c r="AC60" s="169"/>
      <c r="AD60" s="169"/>
      <c r="AE60" s="169"/>
      <c r="AF60" s="169"/>
      <c r="AG60" s="169"/>
      <c r="AH60" s="169"/>
      <c r="AI60" s="169"/>
      <c r="AJ60" s="169"/>
      <c r="AK60" s="174"/>
      <c r="AL60" s="169"/>
    </row>
    <row r="61" spans="1:38" x14ac:dyDescent="0.25">
      <c r="A61" s="169"/>
      <c r="B61" s="241"/>
      <c r="C61" s="157" t="s">
        <v>134</v>
      </c>
      <c r="D61" s="160" t="str">
        <f>IFERROR((D59-D65)/D59,"")</f>
        <v/>
      </c>
      <c r="E61" s="160" t="str">
        <f>IFERROR((E59-E65)/E59,"")</f>
        <v/>
      </c>
      <c r="F61" s="159"/>
      <c r="G61" s="169"/>
      <c r="H61" s="169" t="s">
        <v>143</v>
      </c>
      <c r="I61" s="169"/>
      <c r="J61" s="169"/>
      <c r="K61" s="169"/>
      <c r="L61" s="169"/>
      <c r="M61" s="169"/>
      <c r="N61" s="169"/>
      <c r="O61" s="169"/>
      <c r="P61" s="169"/>
      <c r="Q61" s="169"/>
      <c r="R61" s="174"/>
      <c r="S61" s="169"/>
      <c r="T61" s="169"/>
      <c r="U61" s="241"/>
      <c r="V61" s="157" t="s">
        <v>134</v>
      </c>
      <c r="W61" s="160" t="str">
        <f>IFERROR((W59-W65)/W59,"")</f>
        <v/>
      </c>
      <c r="X61" s="160" t="str">
        <f>IFERROR((X59-X65)/X59,"")</f>
        <v/>
      </c>
      <c r="Y61" s="159"/>
      <c r="Z61" s="169"/>
      <c r="AA61" s="169" t="s">
        <v>143</v>
      </c>
      <c r="AB61" s="169"/>
      <c r="AC61" s="169"/>
      <c r="AD61" s="169"/>
      <c r="AE61" s="169"/>
      <c r="AF61" s="169"/>
      <c r="AG61" s="169"/>
      <c r="AH61" s="169"/>
      <c r="AI61" s="169"/>
      <c r="AJ61" s="169"/>
      <c r="AK61" s="174"/>
      <c r="AL61" s="169"/>
    </row>
    <row r="62" spans="1:38" x14ac:dyDescent="0.25">
      <c r="A62" s="169"/>
      <c r="B62" s="241"/>
      <c r="C62" s="169"/>
      <c r="D62" s="169"/>
      <c r="E62" s="169"/>
      <c r="F62" s="169"/>
      <c r="G62" s="169"/>
      <c r="H62" s="169" t="s">
        <v>148</v>
      </c>
      <c r="I62" s="169"/>
      <c r="J62" s="169"/>
      <c r="K62" s="169"/>
      <c r="L62" s="169"/>
      <c r="M62" s="169"/>
      <c r="N62" s="169"/>
      <c r="O62" s="169"/>
      <c r="P62" s="169"/>
      <c r="Q62" s="169"/>
      <c r="R62" s="174"/>
      <c r="S62" s="169"/>
      <c r="T62" s="169"/>
      <c r="U62" s="241"/>
      <c r="V62" s="169"/>
      <c r="W62" s="169"/>
      <c r="X62" s="169"/>
      <c r="Y62" s="169"/>
      <c r="Z62" s="169"/>
      <c r="AA62" s="169" t="s">
        <v>148</v>
      </c>
      <c r="AB62" s="169"/>
      <c r="AC62" s="169"/>
      <c r="AD62" s="169"/>
      <c r="AE62" s="169"/>
      <c r="AF62" s="169"/>
      <c r="AG62" s="169"/>
      <c r="AH62" s="169"/>
      <c r="AI62" s="169"/>
      <c r="AJ62" s="169"/>
      <c r="AK62" s="174"/>
      <c r="AL62" s="169"/>
    </row>
    <row r="63" spans="1:38" x14ac:dyDescent="0.25">
      <c r="A63" s="169"/>
      <c r="B63" s="241"/>
      <c r="C63" s="169" t="s">
        <v>131</v>
      </c>
      <c r="D63" s="183" t="str">
        <f>IFERROR((D52-D65)/D52,"")</f>
        <v/>
      </c>
      <c r="E63" s="183" t="str">
        <f>IFERROR((E52-E65)/E52,"")</f>
        <v/>
      </c>
      <c r="F63" s="183" t="str">
        <f>IFERROR((F50-F65)/F50,"")</f>
        <v/>
      </c>
      <c r="G63" s="169"/>
      <c r="H63" s="169" t="s">
        <v>144</v>
      </c>
      <c r="I63" s="169"/>
      <c r="J63" s="169"/>
      <c r="K63" s="169"/>
      <c r="L63" s="169"/>
      <c r="M63" s="169"/>
      <c r="N63" s="169"/>
      <c r="O63" s="169"/>
      <c r="P63" s="169"/>
      <c r="Q63" s="169"/>
      <c r="R63" s="174"/>
      <c r="S63" s="169"/>
      <c r="T63" s="169"/>
      <c r="U63" s="241"/>
      <c r="V63" s="169" t="s">
        <v>131</v>
      </c>
      <c r="W63" s="183" t="str">
        <f>IFERROR((W52-W65)/W52,"")</f>
        <v/>
      </c>
      <c r="X63" s="183" t="str">
        <f>IFERROR((X52-X65)/X52,"")</f>
        <v/>
      </c>
      <c r="Y63" s="183" t="str">
        <f>IFERROR((Y50-Y65)/Y50,"")</f>
        <v/>
      </c>
      <c r="Z63" s="169"/>
      <c r="AA63" s="169" t="s">
        <v>144</v>
      </c>
      <c r="AB63" s="169"/>
      <c r="AC63" s="169"/>
      <c r="AD63" s="169"/>
      <c r="AE63" s="169"/>
      <c r="AF63" s="169"/>
      <c r="AG63" s="169"/>
      <c r="AH63" s="169"/>
      <c r="AI63" s="169"/>
      <c r="AJ63" s="169"/>
      <c r="AK63" s="174"/>
      <c r="AL63" s="169"/>
    </row>
    <row r="64" spans="1:38" x14ac:dyDescent="0.25">
      <c r="A64" s="169"/>
      <c r="B64" s="241"/>
      <c r="C64" s="169" t="s">
        <v>130</v>
      </c>
      <c r="D64" s="184">
        <f>D52-D65</f>
        <v>0</v>
      </c>
      <c r="E64" s="184">
        <f>E52-E65</f>
        <v>0</v>
      </c>
      <c r="F64" s="184">
        <f>F50-F65</f>
        <v>0</v>
      </c>
      <c r="G64" s="169"/>
      <c r="H64" s="169" t="s">
        <v>149</v>
      </c>
      <c r="I64" s="169"/>
      <c r="J64" s="169"/>
      <c r="K64" s="169"/>
      <c r="L64" s="169"/>
      <c r="M64" s="169"/>
      <c r="N64" s="169"/>
      <c r="O64" s="169"/>
      <c r="P64" s="169"/>
      <c r="Q64" s="169"/>
      <c r="R64" s="174"/>
      <c r="S64" s="169"/>
      <c r="T64" s="169"/>
      <c r="U64" s="241"/>
      <c r="V64" s="169" t="s">
        <v>130</v>
      </c>
      <c r="W64" s="184">
        <f>W52-W65</f>
        <v>0</v>
      </c>
      <c r="X64" s="184">
        <f>X52-X65</f>
        <v>0</v>
      </c>
      <c r="Y64" s="184">
        <f>Y50-Y65</f>
        <v>0</v>
      </c>
      <c r="Z64" s="169"/>
      <c r="AA64" s="169" t="s">
        <v>149</v>
      </c>
      <c r="AB64" s="169"/>
      <c r="AC64" s="169"/>
      <c r="AD64" s="169"/>
      <c r="AE64" s="169"/>
      <c r="AF64" s="169"/>
      <c r="AG64" s="169"/>
      <c r="AH64" s="169"/>
      <c r="AI64" s="169"/>
      <c r="AJ64" s="169"/>
      <c r="AK64" s="174"/>
      <c r="AL64" s="169"/>
    </row>
    <row r="65" spans="1:38" x14ac:dyDescent="0.25">
      <c r="A65" s="169"/>
      <c r="B65" s="241"/>
      <c r="C65" s="169" t="s">
        <v>129</v>
      </c>
      <c r="D65" s="185"/>
      <c r="E65" s="185"/>
      <c r="F65" s="185"/>
      <c r="G65" s="169"/>
      <c r="H65" s="169"/>
      <c r="I65" s="169"/>
      <c r="J65" s="169"/>
      <c r="K65" s="169"/>
      <c r="L65" s="169"/>
      <c r="M65" s="169"/>
      <c r="N65" s="169"/>
      <c r="O65" s="169"/>
      <c r="P65" s="169"/>
      <c r="Q65" s="169"/>
      <c r="R65" s="174"/>
      <c r="S65" s="169"/>
      <c r="T65" s="169"/>
      <c r="U65" s="241"/>
      <c r="V65" s="169" t="s">
        <v>129</v>
      </c>
      <c r="W65" s="185"/>
      <c r="X65" s="185"/>
      <c r="Y65" s="185"/>
      <c r="Z65" s="169"/>
      <c r="AA65" s="169"/>
      <c r="AB65" s="169"/>
      <c r="AC65" s="169"/>
      <c r="AD65" s="169"/>
      <c r="AE65" s="169"/>
      <c r="AF65" s="169"/>
      <c r="AG65" s="169"/>
      <c r="AH65" s="169"/>
      <c r="AI65" s="169"/>
      <c r="AJ65" s="169"/>
      <c r="AK65" s="174"/>
      <c r="AL65" s="169"/>
    </row>
    <row r="66" spans="1:38" x14ac:dyDescent="0.25">
      <c r="A66" s="169"/>
      <c r="B66" s="241"/>
      <c r="C66" s="169"/>
      <c r="D66" s="169"/>
      <c r="E66" s="169"/>
      <c r="F66" s="169"/>
      <c r="G66" s="169"/>
      <c r="H66" s="169"/>
      <c r="I66" s="169"/>
      <c r="J66" s="169"/>
      <c r="K66" s="169"/>
      <c r="L66" s="169"/>
      <c r="M66" s="169"/>
      <c r="N66" s="169"/>
      <c r="O66" s="169"/>
      <c r="P66" s="169"/>
      <c r="Q66" s="169"/>
      <c r="R66" s="174"/>
      <c r="S66" s="169"/>
      <c r="T66" s="169"/>
      <c r="U66" s="241"/>
      <c r="V66" s="169"/>
      <c r="W66" s="169"/>
      <c r="X66" s="169"/>
      <c r="Y66" s="169"/>
      <c r="Z66" s="169"/>
      <c r="AA66" s="169"/>
      <c r="AB66" s="169"/>
      <c r="AC66" s="169"/>
      <c r="AD66" s="169"/>
      <c r="AE66" s="169"/>
      <c r="AF66" s="169"/>
      <c r="AG66" s="169"/>
      <c r="AH66" s="169"/>
      <c r="AI66" s="169"/>
      <c r="AJ66" s="169"/>
      <c r="AK66" s="174"/>
      <c r="AL66" s="169"/>
    </row>
    <row r="67" spans="1:38" x14ac:dyDescent="0.25">
      <c r="A67" s="169"/>
      <c r="B67" s="241"/>
      <c r="C67" s="169" t="s">
        <v>136</v>
      </c>
      <c r="D67" s="186"/>
      <c r="E67" s="186"/>
      <c r="F67" s="186"/>
      <c r="G67" s="169"/>
      <c r="H67" s="169"/>
      <c r="I67" s="169"/>
      <c r="J67" s="169"/>
      <c r="K67" s="169"/>
      <c r="L67" s="169"/>
      <c r="M67" s="169"/>
      <c r="N67" s="169"/>
      <c r="O67" s="169"/>
      <c r="P67" s="169"/>
      <c r="Q67" s="169"/>
      <c r="R67" s="174"/>
      <c r="S67" s="169"/>
      <c r="T67" s="169"/>
      <c r="U67" s="241"/>
      <c r="V67" s="169" t="s">
        <v>136</v>
      </c>
      <c r="W67" s="186"/>
      <c r="X67" s="186"/>
      <c r="Y67" s="186"/>
      <c r="Z67" s="169"/>
      <c r="AA67" s="169"/>
      <c r="AB67" s="169"/>
      <c r="AC67" s="169"/>
      <c r="AD67" s="169"/>
      <c r="AE67" s="169"/>
      <c r="AF67" s="169"/>
      <c r="AG67" s="169"/>
      <c r="AH67" s="169"/>
      <c r="AI67" s="169"/>
      <c r="AJ67" s="169"/>
      <c r="AK67" s="174"/>
      <c r="AL67" s="169"/>
    </row>
    <row r="68" spans="1:38" x14ac:dyDescent="0.25">
      <c r="A68" s="169"/>
      <c r="B68" s="241"/>
      <c r="C68" s="169" t="s">
        <v>137</v>
      </c>
      <c r="D68" s="187"/>
      <c r="E68" s="187"/>
      <c r="F68" s="187"/>
      <c r="G68" s="169"/>
      <c r="H68" s="169"/>
      <c r="I68" s="169"/>
      <c r="J68" s="169"/>
      <c r="K68" s="169"/>
      <c r="L68" s="169"/>
      <c r="M68" s="169"/>
      <c r="N68" s="169"/>
      <c r="O68" s="169"/>
      <c r="P68" s="169"/>
      <c r="Q68" s="169"/>
      <c r="R68" s="174"/>
      <c r="S68" s="169"/>
      <c r="T68" s="169"/>
      <c r="U68" s="241"/>
      <c r="V68" s="169" t="s">
        <v>137</v>
      </c>
      <c r="W68" s="187"/>
      <c r="X68" s="187"/>
      <c r="Y68" s="187"/>
      <c r="Z68" s="169"/>
      <c r="AA68" s="169"/>
      <c r="AB68" s="169"/>
      <c r="AC68" s="169"/>
      <c r="AD68" s="169"/>
      <c r="AE68" s="169"/>
      <c r="AF68" s="169"/>
      <c r="AG68" s="169"/>
      <c r="AH68" s="169"/>
      <c r="AI68" s="169"/>
      <c r="AJ68" s="169"/>
      <c r="AK68" s="174"/>
      <c r="AL68" s="169"/>
    </row>
    <row r="69" spans="1:38" x14ac:dyDescent="0.25">
      <c r="A69" s="169"/>
      <c r="B69" s="180"/>
      <c r="C69" s="181"/>
      <c r="D69" s="181"/>
      <c r="E69" s="181"/>
      <c r="F69" s="181"/>
      <c r="G69" s="181"/>
      <c r="H69" s="181"/>
      <c r="I69" s="181"/>
      <c r="J69" s="181"/>
      <c r="K69" s="181"/>
      <c r="L69" s="181"/>
      <c r="M69" s="181"/>
      <c r="N69" s="181"/>
      <c r="O69" s="181"/>
      <c r="P69" s="181"/>
      <c r="Q69" s="181"/>
      <c r="R69" s="182"/>
      <c r="S69" s="169"/>
      <c r="T69" s="169"/>
      <c r="U69" s="180"/>
      <c r="V69" s="181"/>
      <c r="W69" s="181"/>
      <c r="X69" s="181"/>
      <c r="Y69" s="181"/>
      <c r="Z69" s="181"/>
      <c r="AA69" s="181"/>
      <c r="AB69" s="181"/>
      <c r="AC69" s="181"/>
      <c r="AD69" s="181"/>
      <c r="AE69" s="181"/>
      <c r="AF69" s="181"/>
      <c r="AG69" s="181"/>
      <c r="AH69" s="181"/>
      <c r="AI69" s="181"/>
      <c r="AJ69" s="181"/>
      <c r="AK69" s="182"/>
      <c r="AL69" s="169"/>
    </row>
    <row r="70" spans="1:38" x14ac:dyDescent="0.25">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row>
    <row r="71" spans="1:38" x14ac:dyDescent="0.25">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row>
    <row r="72" spans="1:38" x14ac:dyDescent="0.25">
      <c r="A72" s="169"/>
      <c r="B72" s="171"/>
      <c r="C72" s="172"/>
      <c r="D72" s="172"/>
      <c r="E72" s="172"/>
      <c r="F72" s="172"/>
      <c r="G72" s="172"/>
      <c r="H72" s="172"/>
      <c r="I72" s="172"/>
      <c r="J72" s="172"/>
      <c r="K72" s="172"/>
      <c r="L72" s="172"/>
      <c r="M72" s="172"/>
      <c r="N72" s="172"/>
      <c r="O72" s="172"/>
      <c r="P72" s="172"/>
      <c r="Q72" s="172"/>
      <c r="R72" s="173"/>
      <c r="S72" s="169"/>
      <c r="T72" s="169"/>
      <c r="U72" s="171"/>
      <c r="V72" s="172"/>
      <c r="W72" s="172"/>
      <c r="X72" s="172"/>
      <c r="Y72" s="172"/>
      <c r="Z72" s="172"/>
      <c r="AA72" s="172"/>
      <c r="AB72" s="172"/>
      <c r="AC72" s="172"/>
      <c r="AD72" s="172"/>
      <c r="AE72" s="172"/>
      <c r="AF72" s="172"/>
      <c r="AG72" s="172"/>
      <c r="AH72" s="172"/>
      <c r="AI72" s="172"/>
      <c r="AJ72" s="172"/>
      <c r="AK72" s="173"/>
      <c r="AL72" s="169"/>
    </row>
    <row r="73" spans="1:38" ht="15" x14ac:dyDescent="0.25">
      <c r="A73" s="169"/>
      <c r="B73" s="271" t="str">
        <f>'PRODUCTS &amp; VOLUME'!B25</f>
        <v>3.</v>
      </c>
      <c r="C73" s="20" t="s">
        <v>117</v>
      </c>
      <c r="D73" s="169"/>
      <c r="E73" s="169"/>
      <c r="F73" s="169"/>
      <c r="G73" s="169"/>
      <c r="H73" s="169"/>
      <c r="I73" s="169"/>
      <c r="J73" s="169"/>
      <c r="K73" s="169"/>
      <c r="L73" s="169"/>
      <c r="M73" s="169"/>
      <c r="N73" s="169"/>
      <c r="O73" s="169"/>
      <c r="P73" s="169"/>
      <c r="Q73" s="169"/>
      <c r="R73" s="174"/>
      <c r="S73" s="169"/>
      <c r="T73" s="169"/>
      <c r="U73" s="271" t="str">
        <f>'PRODUCTS &amp; VOLUME'!B28</f>
        <v>6.</v>
      </c>
      <c r="V73" s="20" t="s">
        <v>117</v>
      </c>
      <c r="W73" s="169"/>
      <c r="X73" s="169"/>
      <c r="Y73" s="169"/>
      <c r="Z73" s="169"/>
      <c r="AA73" s="169"/>
      <c r="AB73" s="169"/>
      <c r="AC73" s="169"/>
      <c r="AD73" s="169"/>
      <c r="AE73" s="169"/>
      <c r="AF73" s="169"/>
      <c r="AG73" s="169"/>
      <c r="AH73" s="169"/>
      <c r="AI73" s="169"/>
      <c r="AJ73" s="169"/>
      <c r="AK73" s="174"/>
      <c r="AL73" s="169"/>
    </row>
    <row r="74" spans="1:38" x14ac:dyDescent="0.25">
      <c r="A74" s="169"/>
      <c r="B74" s="271"/>
      <c r="C74" s="146"/>
      <c r="D74" s="169"/>
      <c r="E74" s="169"/>
      <c r="F74" s="169"/>
      <c r="G74" s="169"/>
      <c r="H74" s="169"/>
      <c r="I74" s="169"/>
      <c r="J74" s="169"/>
      <c r="K74" s="169"/>
      <c r="L74" s="169"/>
      <c r="M74" s="169"/>
      <c r="N74" s="169"/>
      <c r="O74" s="169"/>
      <c r="P74" s="169"/>
      <c r="Q74" s="169"/>
      <c r="R74" s="174"/>
      <c r="S74" s="169"/>
      <c r="T74" s="169"/>
      <c r="U74" s="271"/>
      <c r="V74" s="146"/>
      <c r="W74" s="169"/>
      <c r="X74" s="169"/>
      <c r="Y74" s="169"/>
      <c r="Z74" s="169"/>
      <c r="AA74" s="169"/>
      <c r="AB74" s="169"/>
      <c r="AC74" s="169"/>
      <c r="AD74" s="169"/>
      <c r="AE74" s="169"/>
      <c r="AF74" s="169"/>
      <c r="AG74" s="169"/>
      <c r="AH74" s="169"/>
      <c r="AI74" s="169"/>
      <c r="AJ74" s="169"/>
      <c r="AK74" s="174"/>
      <c r="AL74" s="169"/>
    </row>
    <row r="75" spans="1:38" x14ac:dyDescent="0.25">
      <c r="A75" s="169"/>
      <c r="B75" s="271"/>
      <c r="C75" s="115"/>
      <c r="D75" s="116" t="s">
        <v>94</v>
      </c>
      <c r="E75" s="115"/>
      <c r="F75" s="116" t="s">
        <v>33</v>
      </c>
      <c r="G75" s="117"/>
      <c r="H75" s="118" t="s">
        <v>102</v>
      </c>
      <c r="I75" s="169"/>
      <c r="J75" s="243" t="s">
        <v>105</v>
      </c>
      <c r="K75" s="244"/>
      <c r="L75" s="243" t="s">
        <v>106</v>
      </c>
      <c r="M75" s="244"/>
      <c r="N75" s="169"/>
      <c r="O75" s="118" t="s">
        <v>111</v>
      </c>
      <c r="P75" s="118" t="s">
        <v>113</v>
      </c>
      <c r="Q75" s="118" t="s">
        <v>112</v>
      </c>
      <c r="R75" s="174"/>
      <c r="S75" s="169"/>
      <c r="T75" s="169"/>
      <c r="U75" s="271"/>
      <c r="V75" s="115"/>
      <c r="W75" s="116" t="s">
        <v>94</v>
      </c>
      <c r="X75" s="115"/>
      <c r="Y75" s="116" t="s">
        <v>33</v>
      </c>
      <c r="Z75" s="117"/>
      <c r="AA75" s="118" t="s">
        <v>102</v>
      </c>
      <c r="AB75" s="169"/>
      <c r="AC75" s="243" t="s">
        <v>105</v>
      </c>
      <c r="AD75" s="244"/>
      <c r="AE75" s="243" t="s">
        <v>106</v>
      </c>
      <c r="AF75" s="244"/>
      <c r="AG75" s="169"/>
      <c r="AH75" s="118" t="s">
        <v>111</v>
      </c>
      <c r="AI75" s="118" t="s">
        <v>113</v>
      </c>
      <c r="AJ75" s="118" t="s">
        <v>112</v>
      </c>
      <c r="AK75" s="174"/>
      <c r="AL75" s="169"/>
    </row>
    <row r="76" spans="1:38" x14ac:dyDescent="0.25">
      <c r="A76" s="169"/>
      <c r="B76" s="271"/>
      <c r="C76" s="120" t="s">
        <v>2</v>
      </c>
      <c r="D76" s="120" t="s">
        <v>95</v>
      </c>
      <c r="E76" s="121" t="s">
        <v>27</v>
      </c>
      <c r="F76" s="120" t="s">
        <v>34</v>
      </c>
      <c r="G76" s="122" t="s">
        <v>38</v>
      </c>
      <c r="H76" s="122" t="s">
        <v>38</v>
      </c>
      <c r="I76" s="169"/>
      <c r="J76" s="266" t="s">
        <v>104</v>
      </c>
      <c r="K76" s="267"/>
      <c r="L76" s="266" t="s">
        <v>104</v>
      </c>
      <c r="M76" s="267"/>
      <c r="N76" s="169"/>
      <c r="O76" s="122" t="s">
        <v>112</v>
      </c>
      <c r="P76" s="122" t="s">
        <v>112</v>
      </c>
      <c r="Q76" s="122" t="s">
        <v>114</v>
      </c>
      <c r="R76" s="174"/>
      <c r="S76" s="169"/>
      <c r="T76" s="169"/>
      <c r="U76" s="271"/>
      <c r="V76" s="120" t="s">
        <v>2</v>
      </c>
      <c r="W76" s="120" t="s">
        <v>95</v>
      </c>
      <c r="X76" s="121" t="s">
        <v>27</v>
      </c>
      <c r="Y76" s="120" t="s">
        <v>34</v>
      </c>
      <c r="Z76" s="122" t="s">
        <v>38</v>
      </c>
      <c r="AA76" s="122" t="s">
        <v>38</v>
      </c>
      <c r="AB76" s="169"/>
      <c r="AC76" s="266" t="s">
        <v>104</v>
      </c>
      <c r="AD76" s="267"/>
      <c r="AE76" s="266" t="s">
        <v>104</v>
      </c>
      <c r="AF76" s="267"/>
      <c r="AG76" s="169"/>
      <c r="AH76" s="122" t="s">
        <v>112</v>
      </c>
      <c r="AI76" s="122" t="s">
        <v>112</v>
      </c>
      <c r="AJ76" s="122" t="s">
        <v>114</v>
      </c>
      <c r="AK76" s="174"/>
      <c r="AL76" s="169"/>
    </row>
    <row r="77" spans="1:38" x14ac:dyDescent="0.25">
      <c r="A77" s="169"/>
      <c r="B77" s="271"/>
      <c r="C77" s="123" t="str">
        <f>IF('PRODUCTS &amp; VOLUME'!C25="","",'PRODUCTS &amp; VOLUME'!C25)</f>
        <v/>
      </c>
      <c r="D77" s="124" t="str">
        <f>IF('PRODUCTS &amp; VOLUME'!D25="","",'PRODUCTS &amp; VOLUME'!D25)</f>
        <v/>
      </c>
      <c r="E77" s="125">
        <f>'PRODUCTS &amp; VOLUME'!J25</f>
        <v>0</v>
      </c>
      <c r="F77" s="125" t="str">
        <f>'PRODUCTS &amp; VOLUME'!L25</f>
        <v/>
      </c>
      <c r="G77" s="126" t="str">
        <f>IF('PRODUCTS &amp; VOLUME'!K25="","",'PRODUCTS &amp; VOLUME'!K25)</f>
        <v/>
      </c>
      <c r="H77" s="126">
        <f>IF(G77="YES",(E77/110%),E77)</f>
        <v>0</v>
      </c>
      <c r="I77" s="169"/>
      <c r="J77" s="127"/>
      <c r="K77" s="128"/>
      <c r="L77" s="128"/>
      <c r="M77" s="129"/>
      <c r="N77" s="169"/>
      <c r="O77" s="141"/>
      <c r="P77" s="141"/>
      <c r="Q77" s="136"/>
      <c r="R77" s="174"/>
      <c r="S77" s="169"/>
      <c r="T77" s="169"/>
      <c r="U77" s="271"/>
      <c r="V77" s="123" t="str">
        <f>IF('PRODUCTS &amp; VOLUME'!C28="","",'PRODUCTS &amp; VOLUME'!C28)</f>
        <v/>
      </c>
      <c r="W77" s="124" t="str">
        <f>IF('PRODUCTS &amp; VOLUME'!D28="","",'PRODUCTS &amp; VOLUME'!D28)</f>
        <v/>
      </c>
      <c r="X77" s="125">
        <f>'PRODUCTS &amp; VOLUME'!J28</f>
        <v>0</v>
      </c>
      <c r="Y77" s="125" t="str">
        <f>'PRODUCTS &amp; VOLUME'!L28</f>
        <v/>
      </c>
      <c r="Z77" s="126" t="str">
        <f>IF('PRODUCTS &amp; VOLUME'!K28="","",'PRODUCTS &amp; VOLUME'!K28)</f>
        <v/>
      </c>
      <c r="AA77" s="126">
        <f>IF(Z77="YES",(X77/110%),X77)</f>
        <v>0</v>
      </c>
      <c r="AB77" s="169"/>
      <c r="AC77" s="127"/>
      <c r="AD77" s="128"/>
      <c r="AE77" s="128"/>
      <c r="AF77" s="129"/>
      <c r="AG77" s="169"/>
      <c r="AH77" s="141"/>
      <c r="AI77" s="141"/>
      <c r="AJ77" s="136"/>
      <c r="AK77" s="174"/>
      <c r="AL77" s="169"/>
    </row>
    <row r="78" spans="1:38" x14ac:dyDescent="0.25">
      <c r="A78" s="169"/>
      <c r="B78" s="271"/>
      <c r="C78" s="132" t="s">
        <v>103</v>
      </c>
      <c r="D78" s="133"/>
      <c r="E78" s="134"/>
      <c r="F78" s="135" t="str">
        <f>IFERROR(E78/D78,"")</f>
        <v/>
      </c>
      <c r="G78" s="136"/>
      <c r="H78" s="126">
        <f>IF(G78="YES",(E78/110%),E78)</f>
        <v>0</v>
      </c>
      <c r="I78" s="169"/>
      <c r="J78" s="137">
        <f>E77-E78</f>
        <v>0</v>
      </c>
      <c r="K78" s="138" t="str">
        <f>IFERROR((E77-E78)/E77,"")</f>
        <v/>
      </c>
      <c r="L78" s="137" t="str">
        <f>IFERROR(F77-F78,"")</f>
        <v/>
      </c>
      <c r="M78" s="138" t="str">
        <f>IFERROR((F77-F78)/F77,"")</f>
        <v/>
      </c>
      <c r="N78" s="169"/>
      <c r="O78" s="139"/>
      <c r="P78" s="140"/>
      <c r="Q78" s="136"/>
      <c r="R78" s="174"/>
      <c r="S78" s="169"/>
      <c r="T78" s="169"/>
      <c r="U78" s="271"/>
      <c r="V78" s="132" t="s">
        <v>103</v>
      </c>
      <c r="W78" s="133"/>
      <c r="X78" s="134"/>
      <c r="Y78" s="135" t="str">
        <f>IFERROR(X78/W78,"")</f>
        <v/>
      </c>
      <c r="Z78" s="136"/>
      <c r="AA78" s="126">
        <f>IF(Z78="YES",(X78/110%),X78)</f>
        <v>0</v>
      </c>
      <c r="AB78" s="169"/>
      <c r="AC78" s="137">
        <f>X77-X78</f>
        <v>0</v>
      </c>
      <c r="AD78" s="138" t="str">
        <f>IFERROR((X77-X78)/X77,"")</f>
        <v/>
      </c>
      <c r="AE78" s="137" t="str">
        <f>IFERROR(Y77-Y78,"")</f>
        <v/>
      </c>
      <c r="AF78" s="138" t="str">
        <f>IFERROR((Y77-Y78)/Y77,"")</f>
        <v/>
      </c>
      <c r="AG78" s="169"/>
      <c r="AH78" s="139"/>
      <c r="AI78" s="140"/>
      <c r="AJ78" s="136"/>
      <c r="AK78" s="174"/>
      <c r="AL78" s="169"/>
    </row>
    <row r="79" spans="1:38" x14ac:dyDescent="0.25">
      <c r="A79" s="169"/>
      <c r="B79" s="271"/>
      <c r="C79" s="132" t="s">
        <v>110</v>
      </c>
      <c r="D79" s="133"/>
      <c r="E79" s="134"/>
      <c r="F79" s="135" t="str">
        <f>IFERROR(E79/D79,"")</f>
        <v/>
      </c>
      <c r="G79" s="136"/>
      <c r="H79" s="126">
        <f>IF(G79="YES",(E79/110%),E79)</f>
        <v>0</v>
      </c>
      <c r="I79" s="169"/>
      <c r="J79" s="137">
        <f>E77-E79</f>
        <v>0</v>
      </c>
      <c r="K79" s="138" t="str">
        <f>IFERROR((E77-E79)/E78,"")</f>
        <v/>
      </c>
      <c r="L79" s="137" t="str">
        <f>IFERROR(F77-F79,"")</f>
        <v/>
      </c>
      <c r="M79" s="138" t="str">
        <f>IFERROR((F77-F79)/F78,"")</f>
        <v/>
      </c>
      <c r="N79" s="169"/>
      <c r="O79" s="141"/>
      <c r="P79" s="142"/>
      <c r="Q79" s="136"/>
      <c r="R79" s="174"/>
      <c r="S79" s="169"/>
      <c r="T79" s="169"/>
      <c r="U79" s="271"/>
      <c r="V79" s="132" t="s">
        <v>110</v>
      </c>
      <c r="W79" s="133"/>
      <c r="X79" s="134"/>
      <c r="Y79" s="135" t="str">
        <f>IFERROR(X79/W79,"")</f>
        <v/>
      </c>
      <c r="Z79" s="136"/>
      <c r="AA79" s="126">
        <f>IF(Z79="YES",(X79/110%),X79)</f>
        <v>0</v>
      </c>
      <c r="AB79" s="169"/>
      <c r="AC79" s="137">
        <f>X77-X79</f>
        <v>0</v>
      </c>
      <c r="AD79" s="138" t="str">
        <f>IFERROR((X77-X79)/X78,"")</f>
        <v/>
      </c>
      <c r="AE79" s="137" t="str">
        <f>IFERROR(Y77-Y79,"")</f>
        <v/>
      </c>
      <c r="AF79" s="138" t="str">
        <f>IFERROR((Y77-Y79)/Y78,"")</f>
        <v/>
      </c>
      <c r="AG79" s="169"/>
      <c r="AH79" s="141"/>
      <c r="AI79" s="142"/>
      <c r="AJ79" s="136"/>
      <c r="AK79" s="174"/>
      <c r="AL79" s="169"/>
    </row>
    <row r="80" spans="1:38" x14ac:dyDescent="0.25">
      <c r="A80" s="169"/>
      <c r="B80" s="175"/>
      <c r="C80" s="169"/>
      <c r="D80" s="169"/>
      <c r="E80" s="169"/>
      <c r="F80" s="169"/>
      <c r="G80" s="169"/>
      <c r="H80" s="169"/>
      <c r="I80" s="169"/>
      <c r="J80" s="169"/>
      <c r="K80" s="169"/>
      <c r="L80" s="169"/>
      <c r="M80" s="169"/>
      <c r="N80" s="169"/>
      <c r="O80" s="169"/>
      <c r="P80" s="169"/>
      <c r="Q80" s="169"/>
      <c r="R80" s="174"/>
      <c r="S80" s="169"/>
      <c r="T80" s="169"/>
      <c r="U80" s="175"/>
      <c r="V80" s="169"/>
      <c r="W80" s="169"/>
      <c r="X80" s="169"/>
      <c r="Y80" s="169"/>
      <c r="Z80" s="169"/>
      <c r="AA80" s="169"/>
      <c r="AB80" s="169"/>
      <c r="AC80" s="169"/>
      <c r="AD80" s="169"/>
      <c r="AE80" s="169"/>
      <c r="AF80" s="169"/>
      <c r="AG80" s="169"/>
      <c r="AH80" s="169"/>
      <c r="AI80" s="169"/>
      <c r="AJ80" s="169"/>
      <c r="AK80" s="174"/>
      <c r="AL80" s="169"/>
    </row>
    <row r="81" spans="1:38" ht="137.25" x14ac:dyDescent="0.25">
      <c r="A81" s="169"/>
      <c r="B81" s="176"/>
      <c r="C81" s="147" t="s">
        <v>118</v>
      </c>
      <c r="D81" s="177" t="s">
        <v>107</v>
      </c>
      <c r="E81" s="177" t="s">
        <v>108</v>
      </c>
      <c r="F81" s="177" t="s">
        <v>109</v>
      </c>
      <c r="G81" s="169"/>
      <c r="H81" s="249" t="s">
        <v>150</v>
      </c>
      <c r="I81" s="250"/>
      <c r="J81" s="250"/>
      <c r="K81" s="250"/>
      <c r="L81" s="250"/>
      <c r="M81" s="250"/>
      <c r="N81" s="250"/>
      <c r="O81" s="250"/>
      <c r="P81" s="250"/>
      <c r="Q81" s="251"/>
      <c r="R81" s="174"/>
      <c r="S81" s="169"/>
      <c r="T81" s="169"/>
      <c r="U81" s="176"/>
      <c r="V81" s="147" t="s">
        <v>118</v>
      </c>
      <c r="W81" s="177" t="s">
        <v>107</v>
      </c>
      <c r="X81" s="177" t="s">
        <v>108</v>
      </c>
      <c r="Y81" s="177" t="s">
        <v>109</v>
      </c>
      <c r="Z81" s="169"/>
      <c r="AA81" s="249" t="s">
        <v>150</v>
      </c>
      <c r="AB81" s="250"/>
      <c r="AC81" s="250"/>
      <c r="AD81" s="250"/>
      <c r="AE81" s="250"/>
      <c r="AF81" s="250"/>
      <c r="AG81" s="250"/>
      <c r="AH81" s="250"/>
      <c r="AI81" s="250"/>
      <c r="AJ81" s="251"/>
      <c r="AK81" s="174"/>
      <c r="AL81" s="169"/>
    </row>
    <row r="82" spans="1:38" ht="13.5" customHeight="1" x14ac:dyDescent="0.25">
      <c r="A82" s="169"/>
      <c r="B82" s="248" t="s">
        <v>127</v>
      </c>
      <c r="C82" s="178" t="s">
        <v>122</v>
      </c>
      <c r="D82" s="153"/>
      <c r="E82" s="153"/>
      <c r="F82" s="153"/>
      <c r="G82" s="169"/>
      <c r="H82" s="169"/>
      <c r="I82" s="169"/>
      <c r="J82" s="169"/>
      <c r="K82" s="169"/>
      <c r="L82" s="169"/>
      <c r="M82" s="169"/>
      <c r="N82" s="169"/>
      <c r="O82" s="169"/>
      <c r="P82" s="169"/>
      <c r="Q82" s="169"/>
      <c r="R82" s="174"/>
      <c r="S82" s="169"/>
      <c r="T82" s="169"/>
      <c r="U82" s="248" t="s">
        <v>127</v>
      </c>
      <c r="V82" s="178" t="s">
        <v>122</v>
      </c>
      <c r="W82" s="153"/>
      <c r="X82" s="153"/>
      <c r="Y82" s="153"/>
      <c r="Z82" s="169"/>
      <c r="AA82" s="169"/>
      <c r="AB82" s="169"/>
      <c r="AC82" s="169"/>
      <c r="AD82" s="169"/>
      <c r="AE82" s="169"/>
      <c r="AF82" s="169"/>
      <c r="AG82" s="169"/>
      <c r="AH82" s="169"/>
      <c r="AI82" s="169"/>
      <c r="AJ82" s="169"/>
      <c r="AK82" s="174"/>
      <c r="AL82" s="169"/>
    </row>
    <row r="83" spans="1:38" x14ac:dyDescent="0.25">
      <c r="A83" s="169"/>
      <c r="B83" s="248"/>
      <c r="C83" s="169" t="s">
        <v>123</v>
      </c>
      <c r="D83" s="134"/>
      <c r="E83" s="134"/>
      <c r="F83" s="134"/>
      <c r="G83" s="169"/>
      <c r="H83" s="169"/>
      <c r="I83" s="169"/>
      <c r="J83" s="169"/>
      <c r="K83" s="169"/>
      <c r="L83" s="169"/>
      <c r="M83" s="169"/>
      <c r="N83" s="169"/>
      <c r="O83" s="169"/>
      <c r="P83" s="169"/>
      <c r="Q83" s="169"/>
      <c r="R83" s="174"/>
      <c r="S83" s="169"/>
      <c r="T83" s="169"/>
      <c r="U83" s="248"/>
      <c r="V83" s="169" t="s">
        <v>123</v>
      </c>
      <c r="W83" s="134"/>
      <c r="X83" s="134"/>
      <c r="Y83" s="134"/>
      <c r="Z83" s="169"/>
      <c r="AA83" s="169"/>
      <c r="AB83" s="169"/>
      <c r="AC83" s="169"/>
      <c r="AD83" s="169"/>
      <c r="AE83" s="169"/>
      <c r="AF83" s="169"/>
      <c r="AG83" s="169"/>
      <c r="AH83" s="169"/>
      <c r="AI83" s="169"/>
      <c r="AJ83" s="169"/>
      <c r="AK83" s="174"/>
      <c r="AL83" s="169"/>
    </row>
    <row r="84" spans="1:38" x14ac:dyDescent="0.25">
      <c r="A84" s="169"/>
      <c r="B84" s="248"/>
      <c r="C84" s="169" t="s">
        <v>119</v>
      </c>
      <c r="D84" s="148"/>
      <c r="E84" s="148"/>
      <c r="F84" s="148"/>
      <c r="G84" s="169"/>
      <c r="H84" s="169"/>
      <c r="I84" s="169"/>
      <c r="J84" s="169"/>
      <c r="K84" s="169"/>
      <c r="L84" s="169"/>
      <c r="M84" s="169"/>
      <c r="N84" s="169"/>
      <c r="O84" s="169"/>
      <c r="P84" s="169"/>
      <c r="Q84" s="169"/>
      <c r="R84" s="174"/>
      <c r="S84" s="169"/>
      <c r="T84" s="169"/>
      <c r="U84" s="248"/>
      <c r="V84" s="169" t="s">
        <v>119</v>
      </c>
      <c r="W84" s="148"/>
      <c r="X84" s="148"/>
      <c r="Y84" s="148"/>
      <c r="Z84" s="169"/>
      <c r="AA84" s="169"/>
      <c r="AB84" s="169"/>
      <c r="AC84" s="169"/>
      <c r="AD84" s="169"/>
      <c r="AE84" s="169"/>
      <c r="AF84" s="169"/>
      <c r="AG84" s="169"/>
      <c r="AH84" s="169"/>
      <c r="AI84" s="169"/>
      <c r="AJ84" s="169"/>
      <c r="AK84" s="174"/>
      <c r="AL84" s="169"/>
    </row>
    <row r="85" spans="1:38" x14ac:dyDescent="0.25">
      <c r="A85" s="169"/>
      <c r="B85" s="248"/>
      <c r="C85" s="169" t="s">
        <v>121</v>
      </c>
      <c r="D85" s="135">
        <f>D83-D84</f>
        <v>0</v>
      </c>
      <c r="E85" s="135">
        <f>E83-E84</f>
        <v>0</v>
      </c>
      <c r="F85" s="135">
        <v>0</v>
      </c>
      <c r="G85" s="169"/>
      <c r="H85" s="169"/>
      <c r="I85" s="169"/>
      <c r="J85" s="169"/>
      <c r="K85" s="169"/>
      <c r="L85" s="169"/>
      <c r="M85" s="169"/>
      <c r="N85" s="169"/>
      <c r="O85" s="169"/>
      <c r="P85" s="169"/>
      <c r="Q85" s="169"/>
      <c r="R85" s="174"/>
      <c r="S85" s="169"/>
      <c r="T85" s="169"/>
      <c r="U85" s="248"/>
      <c r="V85" s="169" t="s">
        <v>121</v>
      </c>
      <c r="W85" s="135">
        <f>W83-W84</f>
        <v>0</v>
      </c>
      <c r="X85" s="135">
        <f>X83-X84</f>
        <v>0</v>
      </c>
      <c r="Y85" s="135">
        <v>0</v>
      </c>
      <c r="Z85" s="169"/>
      <c r="AA85" s="169"/>
      <c r="AB85" s="169"/>
      <c r="AC85" s="169"/>
      <c r="AD85" s="169"/>
      <c r="AE85" s="169"/>
      <c r="AF85" s="169"/>
      <c r="AG85" s="169"/>
      <c r="AH85" s="169"/>
      <c r="AI85" s="169"/>
      <c r="AJ85" s="169"/>
      <c r="AK85" s="174"/>
      <c r="AL85" s="169"/>
    </row>
    <row r="86" spans="1:38" x14ac:dyDescent="0.25">
      <c r="A86" s="169"/>
      <c r="B86" s="248"/>
      <c r="C86" s="169" t="s">
        <v>120</v>
      </c>
      <c r="D86" s="149" t="str">
        <f>IFERROR((D82-D85)/D82,"")</f>
        <v/>
      </c>
      <c r="E86" s="149" t="str">
        <f>IFERROR((E82-E85)/E82,"")</f>
        <v/>
      </c>
      <c r="F86" s="150" t="s">
        <v>28</v>
      </c>
      <c r="G86" s="169"/>
      <c r="H86" s="169"/>
      <c r="I86" s="169"/>
      <c r="J86" s="169"/>
      <c r="K86" s="169"/>
      <c r="L86" s="169"/>
      <c r="M86" s="169"/>
      <c r="N86" s="169"/>
      <c r="O86" s="169"/>
      <c r="P86" s="169"/>
      <c r="Q86" s="169"/>
      <c r="R86" s="174"/>
      <c r="S86" s="169"/>
      <c r="T86" s="169"/>
      <c r="U86" s="248"/>
      <c r="V86" s="169" t="s">
        <v>120</v>
      </c>
      <c r="W86" s="149" t="str">
        <f>IFERROR((W82-W85)/W82,"")</f>
        <v/>
      </c>
      <c r="X86" s="149" t="str">
        <f>IFERROR((X82-X85)/X82,"")</f>
        <v/>
      </c>
      <c r="Y86" s="150" t="s">
        <v>28</v>
      </c>
      <c r="Z86" s="169"/>
      <c r="AA86" s="169"/>
      <c r="AB86" s="169"/>
      <c r="AC86" s="169"/>
      <c r="AD86" s="169"/>
      <c r="AE86" s="169"/>
      <c r="AF86" s="169"/>
      <c r="AG86" s="169"/>
      <c r="AH86" s="169"/>
      <c r="AI86" s="169"/>
      <c r="AJ86" s="169"/>
      <c r="AK86" s="174"/>
      <c r="AL86" s="169"/>
    </row>
    <row r="87" spans="1:38" x14ac:dyDescent="0.25">
      <c r="A87" s="169"/>
      <c r="B87" s="248"/>
      <c r="C87" s="169"/>
      <c r="D87" s="169"/>
      <c r="E87" s="169"/>
      <c r="F87" s="169"/>
      <c r="G87" s="169"/>
      <c r="H87" s="169"/>
      <c r="I87" s="169"/>
      <c r="J87" s="169"/>
      <c r="K87" s="169"/>
      <c r="L87" s="169"/>
      <c r="M87" s="169"/>
      <c r="N87" s="169"/>
      <c r="O87" s="169"/>
      <c r="P87" s="169"/>
      <c r="Q87" s="169"/>
      <c r="R87" s="174"/>
      <c r="S87" s="169"/>
      <c r="T87" s="169"/>
      <c r="U87" s="248"/>
      <c r="V87" s="169"/>
      <c r="W87" s="169"/>
      <c r="X87" s="169"/>
      <c r="Y87" s="169"/>
      <c r="Z87" s="169"/>
      <c r="AA87" s="169"/>
      <c r="AB87" s="169"/>
      <c r="AC87" s="169"/>
      <c r="AD87" s="169"/>
      <c r="AE87" s="169"/>
      <c r="AF87" s="169"/>
      <c r="AG87" s="169"/>
      <c r="AH87" s="169"/>
      <c r="AI87" s="169"/>
      <c r="AJ87" s="169"/>
      <c r="AK87" s="174"/>
      <c r="AL87" s="169"/>
    </row>
    <row r="88" spans="1:38" x14ac:dyDescent="0.25">
      <c r="A88" s="169"/>
      <c r="B88" s="248"/>
      <c r="C88" s="179" t="s">
        <v>124</v>
      </c>
      <c r="D88" s="163"/>
      <c r="E88" s="164"/>
      <c r="F88" s="165"/>
      <c r="G88" s="169"/>
      <c r="H88" s="169"/>
      <c r="I88" s="169"/>
      <c r="J88" s="169"/>
      <c r="K88" s="169"/>
      <c r="L88" s="169"/>
      <c r="M88" s="169"/>
      <c r="N88" s="169"/>
      <c r="O88" s="169"/>
      <c r="P88" s="169"/>
      <c r="Q88" s="169"/>
      <c r="R88" s="174"/>
      <c r="S88" s="169"/>
      <c r="T88" s="169"/>
      <c r="U88" s="248"/>
      <c r="V88" s="179" t="s">
        <v>124</v>
      </c>
      <c r="W88" s="163"/>
      <c r="X88" s="164"/>
      <c r="Y88" s="165"/>
      <c r="Z88" s="169"/>
      <c r="AA88" s="169"/>
      <c r="AB88" s="169"/>
      <c r="AC88" s="169"/>
      <c r="AD88" s="169"/>
      <c r="AE88" s="169"/>
      <c r="AF88" s="169"/>
      <c r="AG88" s="169"/>
      <c r="AH88" s="169"/>
      <c r="AI88" s="169"/>
      <c r="AJ88" s="169"/>
      <c r="AK88" s="174"/>
      <c r="AL88" s="169"/>
    </row>
    <row r="89" spans="1:38" x14ac:dyDescent="0.25">
      <c r="A89" s="169"/>
      <c r="B89" s="248"/>
      <c r="C89" s="179" t="s">
        <v>125</v>
      </c>
      <c r="D89" s="166" t="str">
        <f>IFERROR(D86-D88,"")</f>
        <v/>
      </c>
      <c r="E89" s="166" t="str">
        <f>IFERROR(E86-E88,"")</f>
        <v/>
      </c>
      <c r="F89" s="165"/>
      <c r="G89" s="169"/>
      <c r="H89" s="169"/>
      <c r="I89" s="169"/>
      <c r="J89" s="169"/>
      <c r="K89" s="169"/>
      <c r="L89" s="169"/>
      <c r="M89" s="169"/>
      <c r="N89" s="169"/>
      <c r="O89" s="169"/>
      <c r="P89" s="169"/>
      <c r="Q89" s="169"/>
      <c r="R89" s="174"/>
      <c r="S89" s="169"/>
      <c r="T89" s="169"/>
      <c r="U89" s="248"/>
      <c r="V89" s="179" t="s">
        <v>125</v>
      </c>
      <c r="W89" s="166" t="str">
        <f>IFERROR(W86-W88,"")</f>
        <v/>
      </c>
      <c r="X89" s="166" t="str">
        <f>IFERROR(X86-X88,"")</f>
        <v/>
      </c>
      <c r="Y89" s="165"/>
      <c r="Z89" s="169"/>
      <c r="AA89" s="169"/>
      <c r="AB89" s="169"/>
      <c r="AC89" s="169"/>
      <c r="AD89" s="169"/>
      <c r="AE89" s="169"/>
      <c r="AF89" s="169"/>
      <c r="AG89" s="169"/>
      <c r="AH89" s="169"/>
      <c r="AI89" s="169"/>
      <c r="AJ89" s="169"/>
      <c r="AK89" s="174"/>
      <c r="AL89" s="169"/>
    </row>
    <row r="90" spans="1:38" x14ac:dyDescent="0.25">
      <c r="A90" s="169"/>
      <c r="B90" s="248"/>
      <c r="C90" s="179" t="s">
        <v>126</v>
      </c>
      <c r="D90" s="167" t="str">
        <f>IFERROR((D85*D88)-(D85*D86),"")</f>
        <v/>
      </c>
      <c r="E90" s="167" t="str">
        <f>IFERROR((E85*E88)-(E85*E86),"")</f>
        <v/>
      </c>
      <c r="F90" s="165"/>
      <c r="G90" s="169"/>
      <c r="H90" s="169"/>
      <c r="I90" s="169"/>
      <c r="J90" s="169"/>
      <c r="K90" s="169"/>
      <c r="L90" s="169"/>
      <c r="M90" s="169"/>
      <c r="N90" s="169"/>
      <c r="O90" s="169"/>
      <c r="P90" s="169"/>
      <c r="Q90" s="169"/>
      <c r="R90" s="174"/>
      <c r="S90" s="169"/>
      <c r="T90" s="169"/>
      <c r="U90" s="248"/>
      <c r="V90" s="179" t="s">
        <v>126</v>
      </c>
      <c r="W90" s="167" t="str">
        <f>IFERROR((W85*W88)-(W85*W86),"")</f>
        <v/>
      </c>
      <c r="X90" s="167" t="str">
        <f>IFERROR((X85*X88)-(X85*X86),"")</f>
        <v/>
      </c>
      <c r="Y90" s="165"/>
      <c r="Z90" s="169"/>
      <c r="AA90" s="169"/>
      <c r="AB90" s="169"/>
      <c r="AC90" s="169"/>
      <c r="AD90" s="169"/>
      <c r="AE90" s="169"/>
      <c r="AF90" s="169"/>
      <c r="AG90" s="169"/>
      <c r="AH90" s="169"/>
      <c r="AI90" s="169"/>
      <c r="AJ90" s="169"/>
      <c r="AK90" s="174"/>
      <c r="AL90" s="169"/>
    </row>
    <row r="91" spans="1:38" ht="7.5" customHeight="1" x14ac:dyDescent="0.25">
      <c r="A91" s="169"/>
      <c r="B91" s="175"/>
      <c r="C91" s="169"/>
      <c r="D91" s="169"/>
      <c r="E91" s="169"/>
      <c r="F91" s="169"/>
      <c r="G91" s="169"/>
      <c r="H91" s="169"/>
      <c r="I91" s="169"/>
      <c r="J91" s="169"/>
      <c r="K91" s="169"/>
      <c r="L91" s="169"/>
      <c r="M91" s="169"/>
      <c r="N91" s="169"/>
      <c r="O91" s="169"/>
      <c r="P91" s="169"/>
      <c r="Q91" s="169"/>
      <c r="R91" s="174"/>
      <c r="S91" s="169"/>
      <c r="T91" s="169"/>
      <c r="U91" s="175"/>
      <c r="V91" s="169"/>
      <c r="W91" s="169"/>
      <c r="X91" s="169"/>
      <c r="Y91" s="169"/>
      <c r="Z91" s="169"/>
      <c r="AA91" s="169"/>
      <c r="AB91" s="169"/>
      <c r="AC91" s="169"/>
      <c r="AD91" s="169"/>
      <c r="AE91" s="169"/>
      <c r="AF91" s="169"/>
      <c r="AG91" s="169"/>
      <c r="AH91" s="169"/>
      <c r="AI91" s="169"/>
      <c r="AJ91" s="169"/>
      <c r="AK91" s="174"/>
      <c r="AL91" s="169"/>
    </row>
    <row r="92" spans="1:38" ht="13.5" customHeight="1" x14ac:dyDescent="0.25">
      <c r="A92" s="169"/>
      <c r="B92" s="241" t="s">
        <v>135</v>
      </c>
      <c r="C92" s="157" t="s">
        <v>132</v>
      </c>
      <c r="D92" s="158" t="str">
        <f>IFERROR(D85-D90,"")</f>
        <v/>
      </c>
      <c r="E92" s="158" t="str">
        <f>IFERROR(E85-E90,"")</f>
        <v/>
      </c>
      <c r="F92" s="159"/>
      <c r="G92" s="169"/>
      <c r="H92" s="179" t="s">
        <v>141</v>
      </c>
      <c r="I92" s="169"/>
      <c r="J92" s="169"/>
      <c r="K92" s="169"/>
      <c r="L92" s="169"/>
      <c r="M92" s="169"/>
      <c r="N92" s="169"/>
      <c r="O92" s="169"/>
      <c r="P92" s="169"/>
      <c r="Q92" s="169"/>
      <c r="R92" s="174"/>
      <c r="S92" s="169"/>
      <c r="T92" s="169"/>
      <c r="U92" s="241" t="s">
        <v>135</v>
      </c>
      <c r="V92" s="157" t="s">
        <v>132</v>
      </c>
      <c r="W92" s="158" t="str">
        <f>IFERROR(W85-W90,"")</f>
        <v/>
      </c>
      <c r="X92" s="158" t="str">
        <f>IFERROR(X85-X90,"")</f>
        <v/>
      </c>
      <c r="Y92" s="159"/>
      <c r="Z92" s="169"/>
      <c r="AA92" s="179" t="s">
        <v>141</v>
      </c>
      <c r="AB92" s="169"/>
      <c r="AC92" s="169"/>
      <c r="AD92" s="169"/>
      <c r="AE92" s="169"/>
      <c r="AF92" s="169"/>
      <c r="AG92" s="169"/>
      <c r="AH92" s="169"/>
      <c r="AI92" s="169"/>
      <c r="AJ92" s="169"/>
      <c r="AK92" s="174"/>
      <c r="AL92" s="169"/>
    </row>
    <row r="93" spans="1:38" x14ac:dyDescent="0.25">
      <c r="A93" s="169"/>
      <c r="B93" s="241"/>
      <c r="C93" s="157" t="s">
        <v>133</v>
      </c>
      <c r="D93" s="158" t="str">
        <f>IFERROR(D92-D98,"")</f>
        <v/>
      </c>
      <c r="E93" s="158" t="str">
        <f>IFERROR(E92-E98,"")</f>
        <v/>
      </c>
      <c r="F93" s="159"/>
      <c r="G93" s="169"/>
      <c r="H93" s="169" t="s">
        <v>142</v>
      </c>
      <c r="I93" s="169"/>
      <c r="J93" s="169"/>
      <c r="K93" s="169"/>
      <c r="L93" s="169"/>
      <c r="M93" s="169"/>
      <c r="N93" s="169"/>
      <c r="O93" s="169"/>
      <c r="P93" s="169"/>
      <c r="Q93" s="169"/>
      <c r="R93" s="174"/>
      <c r="S93" s="169"/>
      <c r="T93" s="169"/>
      <c r="U93" s="241"/>
      <c r="V93" s="157" t="s">
        <v>133</v>
      </c>
      <c r="W93" s="158" t="str">
        <f>IFERROR(W92-W98,"")</f>
        <v/>
      </c>
      <c r="X93" s="158" t="str">
        <f>IFERROR(X92-X98,"")</f>
        <v/>
      </c>
      <c r="Y93" s="159"/>
      <c r="Z93" s="169"/>
      <c r="AA93" s="169" t="s">
        <v>142</v>
      </c>
      <c r="AB93" s="169"/>
      <c r="AC93" s="169"/>
      <c r="AD93" s="169"/>
      <c r="AE93" s="169"/>
      <c r="AF93" s="169"/>
      <c r="AG93" s="169"/>
      <c r="AH93" s="169"/>
      <c r="AI93" s="169"/>
      <c r="AJ93" s="169"/>
      <c r="AK93" s="174"/>
      <c r="AL93" s="169"/>
    </row>
    <row r="94" spans="1:38" x14ac:dyDescent="0.25">
      <c r="A94" s="169"/>
      <c r="B94" s="241"/>
      <c r="C94" s="157" t="s">
        <v>134</v>
      </c>
      <c r="D94" s="160" t="str">
        <f>IFERROR((D92-D98)/D92,"")</f>
        <v/>
      </c>
      <c r="E94" s="160" t="str">
        <f>IFERROR((E92-E98)/E92,"")</f>
        <v/>
      </c>
      <c r="F94" s="159"/>
      <c r="G94" s="169"/>
      <c r="H94" s="169" t="s">
        <v>143</v>
      </c>
      <c r="I94" s="169"/>
      <c r="J94" s="169"/>
      <c r="K94" s="169"/>
      <c r="L94" s="169"/>
      <c r="M94" s="169"/>
      <c r="N94" s="169"/>
      <c r="O94" s="169"/>
      <c r="P94" s="169"/>
      <c r="Q94" s="169"/>
      <c r="R94" s="174"/>
      <c r="S94" s="169"/>
      <c r="T94" s="169"/>
      <c r="U94" s="241"/>
      <c r="V94" s="157" t="s">
        <v>134</v>
      </c>
      <c r="W94" s="160" t="str">
        <f>IFERROR((W92-W98)/W92,"")</f>
        <v/>
      </c>
      <c r="X94" s="160" t="str">
        <f>IFERROR((X92-X98)/X92,"")</f>
        <v/>
      </c>
      <c r="Y94" s="159"/>
      <c r="Z94" s="169"/>
      <c r="AA94" s="169" t="s">
        <v>143</v>
      </c>
      <c r="AB94" s="169"/>
      <c r="AC94" s="169"/>
      <c r="AD94" s="169"/>
      <c r="AE94" s="169"/>
      <c r="AF94" s="169"/>
      <c r="AG94" s="169"/>
      <c r="AH94" s="169"/>
      <c r="AI94" s="169"/>
      <c r="AJ94" s="169"/>
      <c r="AK94" s="174"/>
      <c r="AL94" s="169"/>
    </row>
    <row r="95" spans="1:38" x14ac:dyDescent="0.25">
      <c r="A95" s="169"/>
      <c r="B95" s="241"/>
      <c r="C95" s="169"/>
      <c r="D95" s="169"/>
      <c r="E95" s="169"/>
      <c r="F95" s="169"/>
      <c r="G95" s="169"/>
      <c r="H95" s="169" t="s">
        <v>148</v>
      </c>
      <c r="I95" s="169"/>
      <c r="J95" s="169"/>
      <c r="K95" s="169"/>
      <c r="L95" s="169"/>
      <c r="M95" s="169"/>
      <c r="N95" s="169"/>
      <c r="O95" s="169"/>
      <c r="P95" s="169"/>
      <c r="Q95" s="169"/>
      <c r="R95" s="174"/>
      <c r="S95" s="169"/>
      <c r="T95" s="169"/>
      <c r="U95" s="241"/>
      <c r="V95" s="169"/>
      <c r="W95" s="169"/>
      <c r="X95" s="169"/>
      <c r="Y95" s="169"/>
      <c r="Z95" s="169"/>
      <c r="AA95" s="169" t="s">
        <v>148</v>
      </c>
      <c r="AB95" s="169"/>
      <c r="AC95" s="169"/>
      <c r="AD95" s="169"/>
      <c r="AE95" s="169"/>
      <c r="AF95" s="169"/>
      <c r="AG95" s="169"/>
      <c r="AH95" s="169"/>
      <c r="AI95" s="169"/>
      <c r="AJ95" s="169"/>
      <c r="AK95" s="174"/>
      <c r="AL95" s="169"/>
    </row>
    <row r="96" spans="1:38" x14ac:dyDescent="0.25">
      <c r="A96" s="169"/>
      <c r="B96" s="241"/>
      <c r="C96" s="169" t="s">
        <v>131</v>
      </c>
      <c r="D96" s="183" t="str">
        <f>IFERROR((D85-D98)/D85,"")</f>
        <v/>
      </c>
      <c r="E96" s="183" t="str">
        <f>IFERROR((E85-E98)/E85,"")</f>
        <v/>
      </c>
      <c r="F96" s="183" t="str">
        <f>IFERROR((F83-F98)/F83,"")</f>
        <v/>
      </c>
      <c r="G96" s="169"/>
      <c r="H96" s="169" t="s">
        <v>144</v>
      </c>
      <c r="I96" s="169"/>
      <c r="J96" s="169"/>
      <c r="K96" s="169"/>
      <c r="L96" s="169"/>
      <c r="M96" s="169"/>
      <c r="N96" s="169"/>
      <c r="O96" s="169"/>
      <c r="P96" s="169"/>
      <c r="Q96" s="169"/>
      <c r="R96" s="174"/>
      <c r="S96" s="169"/>
      <c r="T96" s="169"/>
      <c r="U96" s="241"/>
      <c r="V96" s="169" t="s">
        <v>131</v>
      </c>
      <c r="W96" s="149" t="str">
        <f>IFERROR((W85-W98)/W85,"")</f>
        <v/>
      </c>
      <c r="X96" s="149" t="str">
        <f>IFERROR((X85-X98)/X85,"")</f>
        <v/>
      </c>
      <c r="Y96" s="149" t="str">
        <f>IFERROR((Y83-Y98)/Y83,"")</f>
        <v/>
      </c>
      <c r="Z96" s="169"/>
      <c r="AA96" s="169" t="s">
        <v>144</v>
      </c>
      <c r="AB96" s="169"/>
      <c r="AC96" s="169"/>
      <c r="AD96" s="169"/>
      <c r="AE96" s="169"/>
      <c r="AF96" s="169"/>
      <c r="AG96" s="169"/>
      <c r="AH96" s="169"/>
      <c r="AI96" s="169"/>
      <c r="AJ96" s="169"/>
      <c r="AK96" s="174"/>
      <c r="AL96" s="169"/>
    </row>
    <row r="97" spans="1:38" x14ac:dyDescent="0.25">
      <c r="A97" s="169"/>
      <c r="B97" s="241"/>
      <c r="C97" s="169" t="s">
        <v>130</v>
      </c>
      <c r="D97" s="184">
        <f>D85-D98</f>
        <v>0</v>
      </c>
      <c r="E97" s="184">
        <f>E85-E98</f>
        <v>0</v>
      </c>
      <c r="F97" s="184">
        <f>F83-F98</f>
        <v>0</v>
      </c>
      <c r="G97" s="169"/>
      <c r="H97" s="169" t="s">
        <v>149</v>
      </c>
      <c r="I97" s="169"/>
      <c r="J97" s="169"/>
      <c r="K97" s="169"/>
      <c r="L97" s="169"/>
      <c r="M97" s="169"/>
      <c r="N97" s="169"/>
      <c r="O97" s="169"/>
      <c r="P97" s="169"/>
      <c r="Q97" s="169"/>
      <c r="R97" s="174"/>
      <c r="S97" s="169"/>
      <c r="T97" s="169"/>
      <c r="U97" s="241"/>
      <c r="V97" s="169" t="s">
        <v>130</v>
      </c>
      <c r="W97" s="135">
        <f>W85-W98</f>
        <v>0</v>
      </c>
      <c r="X97" s="135">
        <f>X85-X98</f>
        <v>0</v>
      </c>
      <c r="Y97" s="135">
        <f>Y83-Y98</f>
        <v>0</v>
      </c>
      <c r="Z97" s="169"/>
      <c r="AA97" s="169" t="s">
        <v>149</v>
      </c>
      <c r="AB97" s="169"/>
      <c r="AC97" s="169"/>
      <c r="AD97" s="169"/>
      <c r="AE97" s="169"/>
      <c r="AF97" s="169"/>
      <c r="AG97" s="169"/>
      <c r="AH97" s="169"/>
      <c r="AI97" s="169"/>
      <c r="AJ97" s="169"/>
      <c r="AK97" s="174"/>
      <c r="AL97" s="169"/>
    </row>
    <row r="98" spans="1:38" x14ac:dyDescent="0.25">
      <c r="A98" s="169"/>
      <c r="B98" s="241"/>
      <c r="C98" s="169" t="s">
        <v>129</v>
      </c>
      <c r="D98" s="185"/>
      <c r="E98" s="185"/>
      <c r="F98" s="185"/>
      <c r="G98" s="169"/>
      <c r="H98" s="169"/>
      <c r="I98" s="169"/>
      <c r="J98" s="169"/>
      <c r="K98" s="169"/>
      <c r="L98" s="169"/>
      <c r="M98" s="169"/>
      <c r="N98" s="169"/>
      <c r="O98" s="169"/>
      <c r="P98" s="169"/>
      <c r="Q98" s="169"/>
      <c r="R98" s="174"/>
      <c r="S98" s="169"/>
      <c r="T98" s="169"/>
      <c r="U98" s="241"/>
      <c r="V98" s="169" t="s">
        <v>129</v>
      </c>
      <c r="W98" s="152"/>
      <c r="X98" s="152"/>
      <c r="Y98" s="152"/>
      <c r="Z98" s="169"/>
      <c r="AA98" s="169"/>
      <c r="AB98" s="169"/>
      <c r="AC98" s="169"/>
      <c r="AD98" s="169"/>
      <c r="AE98" s="169"/>
      <c r="AF98" s="169"/>
      <c r="AG98" s="169"/>
      <c r="AH98" s="169"/>
      <c r="AI98" s="169"/>
      <c r="AJ98" s="169"/>
      <c r="AK98" s="174"/>
      <c r="AL98" s="169"/>
    </row>
    <row r="99" spans="1:38" x14ac:dyDescent="0.25">
      <c r="A99" s="169"/>
      <c r="B99" s="241"/>
      <c r="C99" s="169"/>
      <c r="D99" s="169"/>
      <c r="E99" s="169"/>
      <c r="F99" s="169"/>
      <c r="G99" s="169"/>
      <c r="H99" s="169"/>
      <c r="I99" s="169"/>
      <c r="J99" s="169"/>
      <c r="K99" s="169"/>
      <c r="L99" s="169"/>
      <c r="M99" s="169"/>
      <c r="N99" s="169"/>
      <c r="O99" s="169"/>
      <c r="P99" s="169"/>
      <c r="Q99" s="169"/>
      <c r="R99" s="174"/>
      <c r="S99" s="169"/>
      <c r="T99" s="169"/>
      <c r="U99" s="241"/>
      <c r="V99" s="169"/>
      <c r="W99" s="169"/>
      <c r="X99" s="169"/>
      <c r="Y99" s="169"/>
      <c r="Z99" s="169"/>
      <c r="AA99" s="169"/>
      <c r="AB99" s="169"/>
      <c r="AC99" s="169"/>
      <c r="AD99" s="169"/>
      <c r="AE99" s="169"/>
      <c r="AF99" s="169"/>
      <c r="AG99" s="169"/>
      <c r="AH99" s="169"/>
      <c r="AI99" s="169"/>
      <c r="AJ99" s="169"/>
      <c r="AK99" s="174"/>
      <c r="AL99" s="169"/>
    </row>
    <row r="100" spans="1:38" x14ac:dyDescent="0.25">
      <c r="A100" s="169"/>
      <c r="B100" s="241"/>
      <c r="C100" s="169" t="s">
        <v>136</v>
      </c>
      <c r="D100" s="186"/>
      <c r="E100" s="186"/>
      <c r="F100" s="186"/>
      <c r="G100" s="169"/>
      <c r="H100" s="169"/>
      <c r="I100" s="169"/>
      <c r="J100" s="169"/>
      <c r="K100" s="169"/>
      <c r="L100" s="169"/>
      <c r="M100" s="169"/>
      <c r="N100" s="169"/>
      <c r="O100" s="169"/>
      <c r="P100" s="169"/>
      <c r="Q100" s="169"/>
      <c r="R100" s="174"/>
      <c r="S100" s="169"/>
      <c r="T100" s="169"/>
      <c r="U100" s="241"/>
      <c r="V100" s="169" t="s">
        <v>136</v>
      </c>
      <c r="W100" s="155"/>
      <c r="X100" s="155"/>
      <c r="Y100" s="155"/>
      <c r="Z100" s="169"/>
      <c r="AA100" s="169"/>
      <c r="AB100" s="169"/>
      <c r="AC100" s="169"/>
      <c r="AD100" s="169"/>
      <c r="AE100" s="169"/>
      <c r="AF100" s="169"/>
      <c r="AG100" s="169"/>
      <c r="AH100" s="169"/>
      <c r="AI100" s="169"/>
      <c r="AJ100" s="169"/>
      <c r="AK100" s="174"/>
      <c r="AL100" s="169"/>
    </row>
    <row r="101" spans="1:38" x14ac:dyDescent="0.25">
      <c r="A101" s="169"/>
      <c r="B101" s="241"/>
      <c r="C101" s="169" t="s">
        <v>137</v>
      </c>
      <c r="D101" s="187"/>
      <c r="E101" s="187"/>
      <c r="F101" s="187"/>
      <c r="G101" s="169"/>
      <c r="H101" s="169"/>
      <c r="I101" s="169"/>
      <c r="J101" s="169"/>
      <c r="K101" s="169"/>
      <c r="L101" s="169"/>
      <c r="M101" s="169"/>
      <c r="N101" s="169"/>
      <c r="O101" s="169"/>
      <c r="P101" s="169"/>
      <c r="Q101" s="169"/>
      <c r="R101" s="174"/>
      <c r="S101" s="169"/>
      <c r="T101" s="169"/>
      <c r="U101" s="241"/>
      <c r="V101" s="169" t="s">
        <v>137</v>
      </c>
      <c r="W101" s="156"/>
      <c r="X101" s="156"/>
      <c r="Y101" s="156"/>
      <c r="Z101" s="169"/>
      <c r="AA101" s="169"/>
      <c r="AB101" s="169"/>
      <c r="AC101" s="169"/>
      <c r="AD101" s="169"/>
      <c r="AE101" s="169"/>
      <c r="AF101" s="169"/>
      <c r="AG101" s="169"/>
      <c r="AH101" s="169"/>
      <c r="AI101" s="169"/>
      <c r="AJ101" s="169"/>
      <c r="AK101" s="174"/>
      <c r="AL101" s="169"/>
    </row>
    <row r="102" spans="1:38" x14ac:dyDescent="0.25">
      <c r="A102" s="169"/>
      <c r="B102" s="180"/>
      <c r="C102" s="181"/>
      <c r="D102" s="181"/>
      <c r="E102" s="181"/>
      <c r="F102" s="181"/>
      <c r="G102" s="181"/>
      <c r="H102" s="181"/>
      <c r="I102" s="181"/>
      <c r="J102" s="181"/>
      <c r="K102" s="181"/>
      <c r="L102" s="181"/>
      <c r="M102" s="181"/>
      <c r="N102" s="181"/>
      <c r="O102" s="181"/>
      <c r="P102" s="181"/>
      <c r="Q102" s="181"/>
      <c r="R102" s="182"/>
      <c r="S102" s="169"/>
      <c r="T102" s="169"/>
      <c r="U102" s="180"/>
      <c r="V102" s="181"/>
      <c r="W102" s="181"/>
      <c r="X102" s="181"/>
      <c r="Y102" s="181"/>
      <c r="Z102" s="181"/>
      <c r="AA102" s="181"/>
      <c r="AB102" s="181"/>
      <c r="AC102" s="181"/>
      <c r="AD102" s="181"/>
      <c r="AE102" s="181"/>
      <c r="AF102" s="181"/>
      <c r="AG102" s="181"/>
      <c r="AH102" s="181"/>
      <c r="AI102" s="181"/>
      <c r="AJ102" s="181"/>
      <c r="AK102" s="182"/>
      <c r="AL102" s="169"/>
    </row>
    <row r="103" spans="1:38" x14ac:dyDescent="0.25">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row>
  </sheetData>
  <mergeCells count="49">
    <mergeCell ref="AA81:AJ81"/>
    <mergeCell ref="AA48:AJ48"/>
    <mergeCell ref="H48:Q48"/>
    <mergeCell ref="H15:Q15"/>
    <mergeCell ref="AA15:AJ15"/>
    <mergeCell ref="AC42:AD42"/>
    <mergeCell ref="AE42:AF42"/>
    <mergeCell ref="AC43:AD43"/>
    <mergeCell ref="AE43:AF43"/>
    <mergeCell ref="J10:K10"/>
    <mergeCell ref="B7:B13"/>
    <mergeCell ref="B40:B46"/>
    <mergeCell ref="B73:B79"/>
    <mergeCell ref="B49:B57"/>
    <mergeCell ref="B59:B68"/>
    <mergeCell ref="B16:B24"/>
    <mergeCell ref="B26:B35"/>
    <mergeCell ref="B82:B90"/>
    <mergeCell ref="B92:B101"/>
    <mergeCell ref="U26:U35"/>
    <mergeCell ref="U59:U68"/>
    <mergeCell ref="U92:U101"/>
    <mergeCell ref="J75:K75"/>
    <mergeCell ref="L75:M75"/>
    <mergeCell ref="J42:K42"/>
    <mergeCell ref="L42:M42"/>
    <mergeCell ref="J43:K43"/>
    <mergeCell ref="L43:M43"/>
    <mergeCell ref="U82:U90"/>
    <mergeCell ref="U73:U79"/>
    <mergeCell ref="H81:Q81"/>
    <mergeCell ref="U49:U57"/>
    <mergeCell ref="U40:U46"/>
    <mergeCell ref="C2:E3"/>
    <mergeCell ref="AC75:AD75"/>
    <mergeCell ref="AE75:AF75"/>
    <mergeCell ref="AC76:AD76"/>
    <mergeCell ref="AE76:AF76"/>
    <mergeCell ref="AC9:AD9"/>
    <mergeCell ref="AE9:AF9"/>
    <mergeCell ref="AC10:AD10"/>
    <mergeCell ref="AE10:AF10"/>
    <mergeCell ref="U16:U24"/>
    <mergeCell ref="U7:U13"/>
    <mergeCell ref="J76:K76"/>
    <mergeCell ref="L76:M76"/>
    <mergeCell ref="L9:M9"/>
    <mergeCell ref="L10:M10"/>
    <mergeCell ref="J9:K9"/>
  </mergeCells>
  <conditionalFormatting sqref="J12:K12">
    <cfRule type="expression" dxfId="47" priority="70">
      <formula>$E$11&lt;$E$12</formula>
    </cfRule>
    <cfRule type="expression" dxfId="46" priority="73">
      <formula>$E$11&gt;$E$12</formula>
    </cfRule>
  </conditionalFormatting>
  <conditionalFormatting sqref="J13:K13">
    <cfRule type="expression" dxfId="45" priority="67">
      <formula>$E$11&lt;$E$13</formula>
    </cfRule>
    <cfRule type="expression" dxfId="44" priority="68">
      <formula>$E$11&gt;$E$13</formula>
    </cfRule>
  </conditionalFormatting>
  <conditionalFormatting sqref="J45:K45">
    <cfRule type="expression" dxfId="43" priority="62">
      <formula>$E$11&lt;$E$12</formula>
    </cfRule>
    <cfRule type="expression" dxfId="42" priority="64">
      <formula>$E$11&gt;$E$12</formula>
    </cfRule>
  </conditionalFormatting>
  <conditionalFormatting sqref="J46:K46">
    <cfRule type="expression" dxfId="41" priority="59">
      <formula>$E$11&lt;$E$13</formula>
    </cfRule>
    <cfRule type="expression" dxfId="40" priority="60">
      <formula>$E$11&gt;$E$13</formula>
    </cfRule>
  </conditionalFormatting>
  <conditionalFormatting sqref="J78:K78">
    <cfRule type="expression" dxfId="39" priority="54">
      <formula>$E$11&lt;$E$12</formula>
    </cfRule>
    <cfRule type="expression" dxfId="38" priority="56">
      <formula>$E$11&gt;$E$12</formula>
    </cfRule>
  </conditionalFormatting>
  <conditionalFormatting sqref="J79:K79">
    <cfRule type="expression" dxfId="37" priority="51">
      <formula>$E$11&lt;$E$13</formula>
    </cfRule>
    <cfRule type="expression" dxfId="36" priority="52">
      <formula>$E$11&gt;$E$13</formula>
    </cfRule>
  </conditionalFormatting>
  <conditionalFormatting sqref="L12:M12">
    <cfRule type="expression" dxfId="35" priority="69">
      <formula>$F$11&lt;$F$12</formula>
    </cfRule>
    <cfRule type="expression" dxfId="34" priority="72">
      <formula>$F$11&gt;$F$12</formula>
    </cfRule>
  </conditionalFormatting>
  <conditionalFormatting sqref="L13:M13">
    <cfRule type="expression" dxfId="33" priority="65">
      <formula>$F$11&lt;$F$13</formula>
    </cfRule>
    <cfRule type="expression" dxfId="32" priority="66">
      <formula>$F$11&gt;$F$13</formula>
    </cfRule>
  </conditionalFormatting>
  <conditionalFormatting sqref="L45:M45">
    <cfRule type="expression" dxfId="31" priority="61">
      <formula>$F$11&lt;$F$12</formula>
    </cfRule>
    <cfRule type="expression" dxfId="30" priority="63">
      <formula>$F$11&gt;$F$12</formula>
    </cfRule>
  </conditionalFormatting>
  <conditionalFormatting sqref="L46:M46">
    <cfRule type="expression" dxfId="29" priority="57">
      <formula>$F$11&lt;$F$13</formula>
    </cfRule>
    <cfRule type="expression" dxfId="28" priority="58">
      <formula>$F$11&gt;$F$13</formula>
    </cfRule>
  </conditionalFormatting>
  <conditionalFormatting sqref="L78:M78">
    <cfRule type="expression" dxfId="27" priority="53">
      <formula>$F$11&lt;$F$12</formula>
    </cfRule>
    <cfRule type="expression" dxfId="26" priority="55">
      <formula>$F$11&gt;$F$12</formula>
    </cfRule>
  </conditionalFormatting>
  <conditionalFormatting sqref="L79:M79">
    <cfRule type="expression" dxfId="25" priority="49">
      <formula>$F$11&lt;$F$13</formula>
    </cfRule>
    <cfRule type="expression" dxfId="24" priority="50">
      <formula>$F$11&gt;$F$13</formula>
    </cfRule>
  </conditionalFormatting>
  <conditionalFormatting sqref="AC12:AD12">
    <cfRule type="expression" dxfId="23" priority="22">
      <formula>$E$11&lt;$E$12</formula>
    </cfRule>
    <cfRule type="expression" dxfId="22" priority="24">
      <formula>$E$11&gt;$E$12</formula>
    </cfRule>
  </conditionalFormatting>
  <conditionalFormatting sqref="AC13:AD13">
    <cfRule type="expression" dxfId="21" priority="19">
      <formula>$E$11&lt;$E$13</formula>
    </cfRule>
    <cfRule type="expression" dxfId="20" priority="20">
      <formula>$E$11&gt;$E$13</formula>
    </cfRule>
  </conditionalFormatting>
  <conditionalFormatting sqref="AC45:AD45">
    <cfRule type="expression" dxfId="19" priority="14">
      <formula>$E$11&lt;$E$12</formula>
    </cfRule>
    <cfRule type="expression" dxfId="18" priority="16">
      <formula>$E$11&gt;$E$12</formula>
    </cfRule>
  </conditionalFormatting>
  <conditionalFormatting sqref="AC46:AD46">
    <cfRule type="expression" dxfId="17" priority="11">
      <formula>$E$11&lt;$E$13</formula>
    </cfRule>
    <cfRule type="expression" dxfId="16" priority="12">
      <formula>$E$11&gt;$E$13</formula>
    </cfRule>
  </conditionalFormatting>
  <conditionalFormatting sqref="AC78:AD78">
    <cfRule type="expression" dxfId="15" priority="6">
      <formula>$E$11&lt;$E$12</formula>
    </cfRule>
    <cfRule type="expression" dxfId="14" priority="8">
      <formula>$E$11&gt;$E$12</formula>
    </cfRule>
  </conditionalFormatting>
  <conditionalFormatting sqref="AC79:AD79">
    <cfRule type="expression" dxfId="13" priority="3">
      <formula>$E$11&lt;$E$13</formula>
    </cfRule>
    <cfRule type="expression" dxfId="12" priority="4">
      <formula>$E$11&gt;$E$13</formula>
    </cfRule>
  </conditionalFormatting>
  <conditionalFormatting sqref="AE12:AF12">
    <cfRule type="expression" dxfId="11" priority="21">
      <formula>$F$11&lt;$F$12</formula>
    </cfRule>
    <cfRule type="expression" dxfId="10" priority="23">
      <formula>$F$11&gt;$F$12</formula>
    </cfRule>
  </conditionalFormatting>
  <conditionalFormatting sqref="AE13:AF13">
    <cfRule type="expression" dxfId="9" priority="17">
      <formula>$F$11&lt;$F$13</formula>
    </cfRule>
    <cfRule type="expression" dxfId="8" priority="18">
      <formula>$F$11&gt;$F$13</formula>
    </cfRule>
  </conditionalFormatting>
  <conditionalFormatting sqref="AE45:AF45">
    <cfRule type="expression" dxfId="7" priority="13">
      <formula>$F$11&lt;$F$12</formula>
    </cfRule>
    <cfRule type="expression" dxfId="6" priority="15">
      <formula>$F$11&gt;$F$12</formula>
    </cfRule>
  </conditionalFormatting>
  <conditionalFormatting sqref="AE46:AF46">
    <cfRule type="expression" dxfId="5" priority="9">
      <formula>$F$11&lt;$F$13</formula>
    </cfRule>
    <cfRule type="expression" dxfId="4" priority="10">
      <formula>$F$11&gt;$F$13</formula>
    </cfRule>
  </conditionalFormatting>
  <conditionalFormatting sqref="AE78:AF78">
    <cfRule type="expression" dxfId="3" priority="5">
      <formula>$F$11&lt;$F$12</formula>
    </cfRule>
    <cfRule type="expression" dxfId="2" priority="7">
      <formula>$F$11&gt;$F$12</formula>
    </cfRule>
  </conditionalFormatting>
  <conditionalFormatting sqref="AE79:AF79">
    <cfRule type="expression" dxfId="1" priority="1">
      <formula>$F$11&lt;$F$13</formula>
    </cfRule>
    <cfRule type="expression" dxfId="0" priority="2">
      <formula>$F$11&gt;$F$13</formula>
    </cfRule>
  </conditionalFormatting>
  <pageMargins left="0.25" right="0.25" top="0.75" bottom="0.75" header="0.3" footer="0.3"/>
  <pageSetup paperSize="9" scale="84" orientation="landscape" horizontalDpi="300" verticalDpi="300" r:id="rId1"/>
  <rowBreaks count="2" manualBreakCount="2">
    <brk id="37" max="37" man="1"/>
    <brk id="70" max="37" man="1"/>
  </rowBreaks>
  <colBreaks count="1" manualBreakCount="1">
    <brk id="19" min="4" max="102"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D02B8BA-0851-4861-88AB-FA477CC8F6D6}">
          <x14:formula1>
            <xm:f>LISTS!$B$3:$B$4</xm:f>
          </x14:formula1>
          <xm:sqref>G12:G13 G45:G46 G78:G79 Z12:Z13 Z45:Z46 Z78:Z79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A5B23-A06A-42A7-98D9-DC1A97389C68}">
  <sheetPr codeName="Sheet12"/>
  <dimension ref="B3:B4"/>
  <sheetViews>
    <sheetView workbookViewId="0">
      <selection activeCell="P28" sqref="P28"/>
    </sheetView>
  </sheetViews>
  <sheetFormatPr defaultRowHeight="15" x14ac:dyDescent="0.25"/>
  <sheetData>
    <row r="3" spans="2:2" x14ac:dyDescent="0.25">
      <c r="B3" t="s">
        <v>39</v>
      </c>
    </row>
    <row r="4" spans="2:2" x14ac:dyDescent="0.25">
      <c r="B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EXAMPLE-PRODUCT &amp; VOLUME</vt:lpstr>
      <vt:lpstr>EXAMPLE-COSTING SKU</vt:lpstr>
      <vt:lpstr>EXAMPLE-ANALYSIS</vt:lpstr>
      <vt:lpstr>PRODUCTS &amp; VOLUME</vt:lpstr>
      <vt:lpstr>COSTING SKU 1</vt:lpstr>
      <vt:lpstr>COSTING SKU 2</vt:lpstr>
      <vt:lpstr>COSTING SKU 3</vt:lpstr>
      <vt:lpstr>COSTING SKU 4</vt:lpstr>
      <vt:lpstr>Costing SKU 5</vt:lpstr>
      <vt:lpstr>COSTING SKU 6</vt:lpstr>
      <vt:lpstr>ANALYSIS</vt:lpstr>
      <vt:lpstr>LISTS</vt:lpstr>
      <vt:lpstr>ANALYSIS!Print_Area</vt:lpstr>
      <vt:lpstr>'EXAMPLE-ANALYSIS'!Print_Area</vt:lpstr>
      <vt:lpstr>'PRODUCTS &amp; VOLUME'!Print_Area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Smith</dc:creator>
  <cp:lastModifiedBy>Russell Smith</cp:lastModifiedBy>
  <cp:lastPrinted>2026-02-24T23:29:57Z</cp:lastPrinted>
  <dcterms:created xsi:type="dcterms:W3CDTF">2026-02-22T01:22:39Z</dcterms:created>
  <dcterms:modified xsi:type="dcterms:W3CDTF">2026-02-25T06:47:51Z</dcterms:modified>
</cp:coreProperties>
</file>